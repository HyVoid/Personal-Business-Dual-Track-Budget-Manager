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_Setup" sheetId="1" state="visible" r:id="rId3"/>
    <sheet name="Data_Transactions" sheetId="2" state="visible" r:id="rId4"/>
    <sheet name="Calc_Engine" sheetId="3" state="visible" r:id="rId5"/>
    <sheet name="Dashboard_Pulse" sheetId="4" state="visible" r:id="rId6"/>
  </sheets>
  <definedNames>
    <definedName function="false" hidden="false" name="rng_Categories" vbProcedure="false">Config_Setup!$N$9:$N$15</definedName>
    <definedName function="false" hidden="false" name="rng_Entities" vbProcedure="false">Config_Setup!$C$9:$C$11</definedName>
    <definedName function="false" hidden="false" name="rng_Status" vbProcedure="false">Config_Setup!$B$20:$B$21</definedName>
    <definedName function="false" hidden="false" name="rng_SubCategories" vbProcedure="false">Config_Setup!$O$9:$O$28</definedName>
    <definedName function="false" hidden="false" name="rng_TxTypes" vbProcedure="false">Config_Setup!$B$15:$B$16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<sst xmlns="http://schemas.openxmlformats.org/spreadsheetml/2006/main" count="278" uniqueCount="134">
  <si>
    <t xml:space="preserve">⚙  CONFIG SETUP</t>
  </si>
  <si>
    <t xml:space="preserve">📋 LEDGER</t>
  </si>
  <si>
    <t xml:space="preserve">∑  ENGINE</t>
  </si>
  <si>
    <t xml:space="preserve">◉  DASHBOARD</t>
  </si>
  <si>
    <t xml:space="preserve">CONFIGURATION SETUP</t>
  </si>
  <si>
    <t xml:space="preserve">ENTITY TYPES</t>
  </si>
  <si>
    <t xml:space="preserve">◀  VALIDATION REFERENCE LISTS (do not edit)  ▶</t>
  </si>
  <si>
    <t xml:space="preserve">Entity ID</t>
  </si>
  <si>
    <t xml:space="preserve">Entity Name</t>
  </si>
  <si>
    <t xml:space="preserve">Category Names</t>
  </si>
  <si>
    <t xml:space="preserve">Sub-Category Names</t>
  </si>
  <si>
    <t xml:space="preserve">ENT-01</t>
  </si>
  <si>
    <t xml:space="preserve">Business</t>
  </si>
  <si>
    <t xml:space="preserve">Business Income</t>
  </si>
  <si>
    <t xml:space="preserve">Acquisition</t>
  </si>
  <si>
    <t xml:space="preserve">ENT-02</t>
  </si>
  <si>
    <t xml:space="preserve">Personal</t>
  </si>
  <si>
    <t xml:space="preserve">Business Operating Expense</t>
  </si>
  <si>
    <t xml:space="preserve">Service Fees</t>
  </si>
  <si>
    <t xml:space="preserve">ENT-03</t>
  </si>
  <si>
    <t xml:space="preserve">Transfer</t>
  </si>
  <si>
    <t xml:space="preserve">Owner's Draw</t>
  </si>
  <si>
    <t xml:space="preserve">Retainer</t>
  </si>
  <si>
    <t xml:space="preserve">Personal Income</t>
  </si>
  <si>
    <t xml:space="preserve">SaaS Subscriptions</t>
  </si>
  <si>
    <t xml:space="preserve">TRANSACTION TYPES</t>
  </si>
  <si>
    <t xml:space="preserve">Survival Expenses</t>
  </si>
  <si>
    <t xml:space="preserve">Payroll</t>
  </si>
  <si>
    <t xml:space="preserve">Tx Type</t>
  </si>
  <si>
    <t xml:space="preserve">Discretionary Expenses</t>
  </si>
  <si>
    <t xml:space="preserve">Rent (Office)</t>
  </si>
  <si>
    <t xml:space="preserve">Inflow</t>
  </si>
  <si>
    <t xml:space="preserve">Savings</t>
  </si>
  <si>
    <t xml:space="preserve">Marketing</t>
  </si>
  <si>
    <t xml:space="preserve">Outflow</t>
  </si>
  <si>
    <t xml:space="preserve">Travel &amp; Entertainment</t>
  </si>
  <si>
    <t xml:space="preserve">STATUS VALUES</t>
  </si>
  <si>
    <t xml:space="preserve">Active Salary</t>
  </si>
  <si>
    <t xml:space="preserve">Status</t>
  </si>
  <si>
    <t xml:space="preserve">Other Personal Income</t>
  </si>
  <si>
    <t xml:space="preserve">Cleared</t>
  </si>
  <si>
    <t xml:space="preserve">Rent (Home)</t>
  </si>
  <si>
    <t xml:space="preserve">Pending</t>
  </si>
  <si>
    <t xml:space="preserve">Utilities</t>
  </si>
  <si>
    <t xml:space="preserve">Groceries</t>
  </si>
  <si>
    <t xml:space="preserve">CATEGORY &amp; SUB-CATEGORY TAXONOMY</t>
  </si>
  <si>
    <t xml:space="preserve">Dining Out</t>
  </si>
  <si>
    <t xml:space="preserve">Category Group</t>
  </si>
  <si>
    <t xml:space="preserve">Category Name</t>
  </si>
  <si>
    <t xml:space="preserve">Sub-Category Name</t>
  </si>
  <si>
    <t xml:space="preserve">Shopping</t>
  </si>
  <si>
    <t xml:space="preserve">Revenue</t>
  </si>
  <si>
    <t xml:space="preserve">Luxury</t>
  </si>
  <si>
    <t xml:space="preserve">Entertainment</t>
  </si>
  <si>
    <t xml:space="preserve">Emergency Fund</t>
  </si>
  <si>
    <t xml:space="preserve">Expense</t>
  </si>
  <si>
    <t xml:space="preserve">Investment</t>
  </si>
  <si>
    <t xml:space="preserve">BUDGET &amp; ALERT THRESHOLDS</t>
  </si>
  <si>
    <t xml:space="preserve">Budget Item</t>
  </si>
  <si>
    <t xml:space="preserve">Weekly Limit</t>
  </si>
  <si>
    <t xml:space="preserve">Monthly Limit</t>
  </si>
  <si>
    <t xml:space="preserve">Alert %</t>
  </si>
  <si>
    <t xml:space="preserve">Personal Discretionary</t>
  </si>
  <si>
    <t xml:space="preserve">Owner's Draw (Monthly Cap)</t>
  </si>
  <si>
    <t xml:space="preserve">STARTING BALANCES</t>
  </si>
  <si>
    <t xml:space="preserve">Account</t>
  </si>
  <si>
    <t xml:space="preserve">Opening Balance</t>
  </si>
  <si>
    <t xml:space="preserve">Business Cash Balance</t>
  </si>
  <si>
    <t xml:space="preserve">Personal Savings Balance</t>
  </si>
  <si>
    <t xml:space="preserve">TRANSACTION LEDGER</t>
  </si>
  <si>
    <t xml:space="preserve">Log every business and personal cash movement. Owner resolves Pending items during weekly check-in.</t>
  </si>
  <si>
    <t xml:space="preserve">Tx ID</t>
  </si>
  <si>
    <t xml:space="preserve">Date</t>
  </si>
  <si>
    <t xml:space="preserve">Entity</t>
  </si>
  <si>
    <t xml:space="preserve">Type</t>
  </si>
  <si>
    <t xml:space="preserve">Category</t>
  </si>
  <si>
    <t xml:space="preserve">Sub-Category</t>
  </si>
  <si>
    <t xml:space="preserve">Amount</t>
  </si>
  <si>
    <t xml:space="preserve">Description</t>
  </si>
  <si>
    <t xml:space="preserve">Acct. Flag</t>
  </si>
  <si>
    <t xml:space="preserve">Admin Notes</t>
  </si>
  <si>
    <t xml:space="preserve">Client payment — ABC Corp</t>
  </si>
  <si>
    <t xml:space="preserve">Slack annual subscription</t>
  </si>
  <si>
    <t xml:space="preserve">Google Ads — June campaign</t>
  </si>
  <si>
    <t xml:space="preserve">Monthly owner draw</t>
  </si>
  <si>
    <t xml:space="preserve">Owner draw received — personal account</t>
  </si>
  <si>
    <t xml:space="preserve">June monthly rent</t>
  </si>
  <si>
    <t xml:space="preserve">Dinner — The Capital Grille</t>
  </si>
  <si>
    <t xml:space="preserve">Retainer — XYZ Consulting Ltd</t>
  </si>
  <si>
    <t xml:space="preserve">Contractor payment — Dev team</t>
  </si>
  <si>
    <t xml:space="preserve">Weekly groceries — Whole Foods</t>
  </si>
  <si>
    <t xml:space="preserve">Amazon order — home office supplies</t>
  </si>
  <si>
    <t xml:space="preserve">Netflix annual subscription</t>
  </si>
  <si>
    <t xml:space="preserve">↓  Append new rows here — copy row format from above as needed</t>
  </si>
  <si>
    <t xml:space="preserve">CALCULATION ENGINE</t>
  </si>
  <si>
    <t xml:space="preserve">Protected — do not edit. All values auto-calculated from Data_Transactions ledger.</t>
  </si>
  <si>
    <t xml:space="preserve">Period Start</t>
  </si>
  <si>
    <t xml:space="preserve">Period End</t>
  </si>
  <si>
    <t xml:space="preserve">Biz Income</t>
  </si>
  <si>
    <t xml:space="preserve">Biz OpEx</t>
  </si>
  <si>
    <t xml:space="preserve">Biz Net CF</t>
  </si>
  <si>
    <t xml:space="preserve">Pers Income</t>
  </si>
  <si>
    <t xml:space="preserve">Pers Survival</t>
  </si>
  <si>
    <t xml:space="preserve">Pers Discretion</t>
  </si>
  <si>
    <t xml:space="preserve">Pers Net CF</t>
  </si>
  <si>
    <t xml:space="preserve">Cumul Biz Cash</t>
  </si>
  <si>
    <t xml:space="preserve">Monthly Burn Rate</t>
  </si>
  <si>
    <t xml:space="preserve">Runway (Mo.)</t>
  </si>
  <si>
    <t xml:space="preserve">Draw Recip. Check</t>
  </si>
  <si>
    <t xml:space="preserve">▶  GREEN = inflow</t>
  </si>
  <si>
    <t xml:space="preserve">▶  RED = outflow</t>
  </si>
  <si>
    <t xml:space="preserve">▶  AMBER = draw</t>
  </si>
  <si>
    <t xml:space="preserve">▶  BLUE = runway</t>
  </si>
  <si>
    <t xml:space="preserve">▶  ROW 19 = CURRENT WEEK</t>
  </si>
  <si>
    <t xml:space="preserve">◉  PULSE DASHBOARD</t>
  </si>
  <si>
    <t xml:space="preserve">WEEKLY PARTNER CHECK-IN</t>
  </si>
  <si>
    <t xml:space="preserve">BUSINESS HEALTH</t>
  </si>
  <si>
    <t xml:space="preserve">PERSONAL BUDGET PACING</t>
  </si>
  <si>
    <t xml:space="preserve">TODAY's DATE</t>
  </si>
  <si>
    <t xml:space="preserve">WEEKLY DISCRETIONARY LIMIT</t>
  </si>
  <si>
    <t xml:space="preserve">BUSINESS RUNWAY (MONTHS)</t>
  </si>
  <si>
    <t xml:space="preserve">WEEKLY SPENT TO DATE</t>
  </si>
  <si>
    <t xml:space="preserve">RUNWAY ALERT STATUS</t>
  </si>
  <si>
    <t xml:space="preserve">BUDGET VARIANCE (REMAINING)</t>
  </si>
  <si>
    <t xml:space="preserve">WEEKLY BIZ NET CASH FLOW</t>
  </si>
  <si>
    <t xml:space="preserve">WEEKLY PULSE RESULT</t>
  </si>
  <si>
    <t xml:space="preserve">BUSINESS CASH POSITION</t>
  </si>
  <si>
    <t xml:space="preserve">PERSONAL NET CASH FLOW</t>
  </si>
  <si>
    <t xml:space="preserve">EST. MONTHLY BURN RATE</t>
  </si>
  <si>
    <t xml:space="preserve">TOTAL PENDING ALERTS</t>
  </si>
  <si>
    <t xml:space="preserve">⚑  PENDING ITEMS TO RECONCILE</t>
  </si>
  <si>
    <t xml:space="preserve">Items below require owner verification. Target: Pending Count = 0 at end of each weekly check-in.</t>
  </si>
  <si>
    <t xml:space="preserve">Flag</t>
  </si>
  <si>
    <t xml:space="preserve">[ ↓  Excel 365 FILTER function — auto-spills rows when file is opened in Excel 365 ]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</si>
</sst>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"/>
    <numFmt numFmtId="167" formatCode="\$#,##0.00"/>
    <numFmt numFmtId="168" formatCode="yyyy\-mm\-dd"/>
    <numFmt numFmtId="169" formatCode="General"/>
    <numFmt numFmtId="170" formatCode="0.0"/>
    <numFmt numFmtId="171" formatCode="@"/>
    <numFmt numFmtId="172" formatCode="0.0&quot; mo&quot;"/>
    <numFmt numFmtId="173" formatCode="0&quot; items&quot;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251FF"/>
      <name val="Garamond"/>
      <family val="0"/>
      <charset val="1"/>
    </font>
    <font>
      <b val="true"/>
      <sz val="12"/>
      <color rgb="FFFFFFFF"/>
      <name val="Garamond"/>
      <family val="0"/>
      <charset val="1"/>
    </font>
    <font>
      <b val="true"/>
      <sz val="20"/>
      <color rgb="FF051C2C"/>
      <name val="Garamond"/>
      <family val="0"/>
      <charset val="1"/>
    </font>
    <font>
      <b val="true"/>
      <sz val="13"/>
      <color rgb="FF051C2C"/>
      <name val="Garamond"/>
      <family val="0"/>
      <charset val="1"/>
    </font>
    <font>
      <sz val="9"/>
      <color rgb="FF888888"/>
      <name val="等线"/>
      <family val="0"/>
      <charset val="1"/>
    </font>
    <font>
      <b val="true"/>
      <sz val="11"/>
      <color rgb="FFFFFFFF"/>
      <name val="Garamond"/>
      <family val="0"/>
      <charset val="1"/>
    </font>
    <font>
      <sz val="10"/>
      <color rgb="FF888888"/>
      <name val="等线"/>
      <family val="0"/>
      <charset val="1"/>
    </font>
    <font>
      <b val="true"/>
      <sz val="11"/>
      <color rgb="FF1A1A2E"/>
      <name val="等线"/>
      <family val="0"/>
      <charset val="1"/>
    </font>
    <font>
      <sz val="10"/>
      <color rgb="FF1A1A2E"/>
      <name val="等线"/>
      <family val="0"/>
      <charset val="1"/>
    </font>
    <font>
      <b val="true"/>
      <sz val="11"/>
      <color rgb="FF00C853"/>
      <name val="等线"/>
      <family val="0"/>
      <charset val="1"/>
    </font>
    <font>
      <b val="true"/>
      <sz val="11"/>
      <color rgb="FFD32F2F"/>
      <name val="等线"/>
      <family val="0"/>
      <charset val="1"/>
    </font>
    <font>
      <b val="true"/>
      <sz val="11"/>
      <color rgb="FFF57C00"/>
      <name val="等线"/>
      <family val="0"/>
      <charset val="1"/>
    </font>
    <font>
      <sz val="10"/>
      <color rgb="FF00C853"/>
      <name val="等线"/>
      <family val="0"/>
      <charset val="1"/>
    </font>
    <font>
      <sz val="11"/>
      <color rgb="FF1A1A2E"/>
      <name val="等线"/>
      <family val="0"/>
      <charset val="1"/>
    </font>
    <font>
      <sz val="11"/>
      <color rgb="FF888888"/>
      <name val="等线"/>
      <family val="0"/>
      <charset val="1"/>
    </font>
    <font>
      <sz val="10"/>
      <color rgb="FFD32F2F"/>
      <name val="等线"/>
      <family val="0"/>
      <charset val="1"/>
    </font>
    <font>
      <sz val="10"/>
      <color rgb="FF2251FF"/>
      <name val="等线"/>
      <family val="0"/>
      <charset val="1"/>
    </font>
    <font>
      <b val="true"/>
      <sz val="11"/>
      <color rgb="FF051C2C"/>
      <name val="等线"/>
      <family val="0"/>
      <charset val="1"/>
    </font>
    <font>
      <b val="true"/>
      <sz val="10"/>
      <color rgb="FF00C853"/>
      <name val="等线"/>
      <family val="0"/>
      <charset val="1"/>
    </font>
    <font>
      <sz val="10"/>
      <color rgb="FFF57C00"/>
      <name val="等线"/>
      <family val="0"/>
      <charset val="1"/>
    </font>
    <font>
      <b val="true"/>
      <sz val="10"/>
      <color rgb="FFF57C00"/>
      <name val="等线"/>
      <family val="0"/>
      <charset val="1"/>
    </font>
    <font>
      <b val="true"/>
      <sz val="10"/>
      <color rgb="FF1A1A2E"/>
      <name val="等线"/>
      <family val="0"/>
      <charset val="1"/>
    </font>
    <font>
      <b val="true"/>
      <sz val="10"/>
      <color rgb="FF051C2C"/>
      <name val="等线"/>
      <family val="0"/>
      <charset val="1"/>
    </font>
    <font>
      <b val="true"/>
      <sz val="10"/>
      <color rgb="FF2251FF"/>
      <name val="等线"/>
      <family val="0"/>
      <charset val="1"/>
    </font>
    <font>
      <sz val="9"/>
      <color rgb="FF00C853"/>
      <name val="等线"/>
      <family val="0"/>
      <charset val="1"/>
    </font>
    <font>
      <sz val="9"/>
      <color rgb="FFD32F2F"/>
      <name val="等线"/>
      <family val="0"/>
      <charset val="1"/>
    </font>
    <font>
      <sz val="9"/>
      <color rgb="FFF57C00"/>
      <name val="等线"/>
      <family val="0"/>
      <charset val="1"/>
    </font>
    <font>
      <sz val="9"/>
      <color rgb="FF2251FF"/>
      <name val="等线"/>
      <family val="0"/>
      <charset val="1"/>
    </font>
    <font>
      <sz val="9"/>
      <color rgb="FF051C2C"/>
      <name val="等线"/>
      <family val="0"/>
      <charset val="1"/>
    </font>
    <font>
      <sz val="11"/>
      <color rgb="FF888888"/>
      <name val="Garamond"/>
      <family val="0"/>
      <charset val="1"/>
    </font>
    <font>
      <b val="true"/>
      <sz val="18"/>
      <color rgb="FF051C2C"/>
      <name val="Garamond"/>
      <family val="0"/>
      <charset val="1"/>
    </font>
    <font>
      <b val="true"/>
      <sz val="18"/>
      <color rgb="FFF57C00"/>
      <name val="Garamond"/>
      <family val="0"/>
      <charset val="1"/>
    </font>
    <font>
      <sz val="8"/>
      <color rgb="FF888888"/>
      <name val="等线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5F2"/>
        <bgColor rgb="FFFFFDE7"/>
      </patternFill>
    </fill>
    <fill>
      <patternFill patternType="solid">
        <fgColor rgb="FF051C2C"/>
        <bgColor rgb="FF1A1A2E"/>
      </patternFill>
    </fill>
    <fill>
      <patternFill patternType="solid">
        <fgColor rgb="FF2251FF"/>
        <bgColor rgb="FF0066CC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88888"/>
      </bottom>
      <diagonal/>
    </border>
    <border diagonalUp="false" diagonalDown="false">
      <left/>
      <right/>
      <top/>
      <bottom style="medium">
        <color rgb="FF2251FF"/>
      </bottom>
      <diagonal/>
    </border>
    <border diagonalUp="false" diagonalDown="false">
      <left/>
      <right/>
      <top style="medium">
        <color rgb="FF2251FF"/>
      </top>
      <bottom style="medium">
        <color rgb="FF2251FF"/>
      </bottom>
      <diagonal/>
    </border>
    <border diagonalUp="false" diagonalDown="false">
      <left/>
      <right style="medium">
        <color rgb="FF2251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3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3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FFFFFF"/>
      </font>
      <fill>
        <patternFill>
          <bgColor rgb="FF00C853"/>
        </patternFill>
      </fill>
    </dxf>
    <dxf>
      <font>
        <b val="1"/>
        <color rgb="FFFFFFFF"/>
      </font>
      <fill>
        <patternFill>
          <bgColor rgb="FFF57C00"/>
        </patternFill>
      </fill>
    </dxf>
    <dxf>
      <font>
        <b val="1"/>
        <color rgb="FFFFFFFF"/>
      </font>
      <fill>
        <patternFill>
          <bgColor rgb="FFD32F2F"/>
        </patternFill>
      </fill>
    </dxf>
    <dxf>
      <font>
        <b val="1"/>
        <color rgb="FF00C853"/>
      </font>
    </dxf>
    <dxf>
      <font>
        <b val="1"/>
        <color rgb="FFD32F2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F5F5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251FF"/>
      <rgbColor rgb="FF33CCCC"/>
      <rgbColor rgb="FF99CC00"/>
      <rgbColor rgb="FFFFCC00"/>
      <rgbColor rgb="FFFF9900"/>
      <rgbColor rgb="FFF57C00"/>
      <rgbColor rgb="FF666699"/>
      <rgbColor rgb="FF969696"/>
      <rgbColor rgb="FF134E64"/>
      <rgbColor rgb="FF00C853"/>
      <rgbColor rgb="FF051C2C"/>
      <rgbColor rgb="FF333300"/>
      <rgbColor rgb="FFD32F2F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7" min="6" style="0" width="28"/>
    <col collapsed="false" customWidth="true" hidden="false" outlineLevel="0" max="8" min="8" style="0" width="4"/>
    <col collapsed="false" customWidth="true" hidden="false" outlineLevel="0" max="15" min="14" style="0" width="2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/>
      <c r="B2" s="3" t="s">
        <v>0</v>
      </c>
      <c r="C2" s="2"/>
      <c r="D2" s="2"/>
      <c r="E2" s="2"/>
      <c r="F2" s="4" t="s">
        <v>1</v>
      </c>
      <c r="G2" s="2"/>
      <c r="H2" s="2"/>
      <c r="I2" s="2"/>
      <c r="J2" s="4" t="s">
        <v>2</v>
      </c>
      <c r="K2" s="2"/>
      <c r="L2" s="2"/>
      <c r="M2" s="2"/>
      <c r="N2" s="4" t="s">
        <v>3</v>
      </c>
      <c r="O2" s="2"/>
      <c r="P2" s="2"/>
      <c r="Q2" s="2"/>
      <c r="R2" s="2"/>
      <c r="S2" s="2"/>
      <c r="T2" s="2"/>
      <c r="U2" s="2"/>
      <c r="V2" s="2"/>
    </row>
    <row r="3" customFormat="false" ht="4.5" hidden="false" customHeight="true" outlineLevel="0" collapsed="false">
      <c r="A3" s="2"/>
      <c r="B3" s="5"/>
      <c r="C3" s="5"/>
      <c r="D3" s="5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A5" s="1"/>
      <c r="B5" s="6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19.5" hidden="false" customHeight="true" outlineLevel="0" collapsed="false">
      <c r="A7" s="1"/>
      <c r="B7" s="7" t="s">
        <v>5</v>
      </c>
      <c r="C7" s="8"/>
      <c r="D7" s="8"/>
      <c r="E7" s="8"/>
      <c r="F7" s="1"/>
      <c r="G7" s="1"/>
      <c r="H7" s="1"/>
      <c r="I7" s="1"/>
      <c r="J7" s="1"/>
      <c r="K7" s="1"/>
      <c r="L7" s="1"/>
      <c r="M7" s="1"/>
      <c r="N7" s="9" t="s">
        <v>6</v>
      </c>
      <c r="O7" s="1"/>
      <c r="P7" s="1"/>
    </row>
    <row r="8" customFormat="false" ht="21.75" hidden="false" customHeight="true" outlineLevel="0" collapsed="false">
      <c r="A8" s="1"/>
      <c r="B8" s="10" t="s">
        <v>7</v>
      </c>
      <c r="C8" s="10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0" t="s">
        <v>9</v>
      </c>
      <c r="O8" s="10" t="s">
        <v>10</v>
      </c>
      <c r="P8" s="1"/>
    </row>
    <row r="9" customFormat="false" ht="15" hidden="false" customHeight="false" outlineLevel="0" collapsed="false">
      <c r="A9" s="1"/>
      <c r="B9" s="11" t="s">
        <v>11</v>
      </c>
      <c r="C9" s="12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3" t="s">
        <v>13</v>
      </c>
      <c r="O9" s="13" t="s">
        <v>14</v>
      </c>
      <c r="P9" s="1"/>
    </row>
    <row r="10" customFormat="false" ht="15" hidden="false" customHeight="false" outlineLevel="0" collapsed="false">
      <c r="A10" s="1"/>
      <c r="B10" s="14" t="s">
        <v>15</v>
      </c>
      <c r="C10" s="15" t="s">
        <v>16</v>
      </c>
      <c r="D10" s="16"/>
      <c r="E10" s="16"/>
      <c r="F10" s="1"/>
      <c r="G10" s="1"/>
      <c r="H10" s="1"/>
      <c r="I10" s="1"/>
      <c r="J10" s="1"/>
      <c r="K10" s="1"/>
      <c r="L10" s="1"/>
      <c r="M10" s="1"/>
      <c r="N10" s="17" t="s">
        <v>17</v>
      </c>
      <c r="O10" s="17" t="s">
        <v>18</v>
      </c>
      <c r="P10" s="1"/>
    </row>
    <row r="11" customFormat="false" ht="15" hidden="false" customHeight="false" outlineLevel="0" collapsed="false">
      <c r="A11" s="1"/>
      <c r="B11" s="11" t="s">
        <v>19</v>
      </c>
      <c r="C11" s="12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3" t="s">
        <v>21</v>
      </c>
      <c r="O11" s="13" t="s">
        <v>22</v>
      </c>
      <c r="P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7" t="s">
        <v>23</v>
      </c>
      <c r="O12" s="17" t="s">
        <v>24</v>
      </c>
      <c r="P12" s="1"/>
    </row>
    <row r="13" customFormat="false" ht="19.5" hidden="false" customHeight="true" outlineLevel="0" collapsed="false">
      <c r="A13" s="1"/>
      <c r="B13" s="7" t="s">
        <v>25</v>
      </c>
      <c r="C13" s="8"/>
      <c r="D13" s="8"/>
      <c r="E13" s="8"/>
      <c r="F13" s="1"/>
      <c r="G13" s="1"/>
      <c r="H13" s="1"/>
      <c r="I13" s="1"/>
      <c r="J13" s="1"/>
      <c r="K13" s="1"/>
      <c r="L13" s="1"/>
      <c r="M13" s="1"/>
      <c r="N13" s="13" t="s">
        <v>26</v>
      </c>
      <c r="O13" s="13" t="s">
        <v>27</v>
      </c>
      <c r="P13" s="1"/>
    </row>
    <row r="14" customFormat="false" ht="21.75" hidden="false" customHeight="true" outlineLevel="0" collapsed="false">
      <c r="A14" s="1"/>
      <c r="B14" s="10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7" t="s">
        <v>29</v>
      </c>
      <c r="O14" s="17" t="s">
        <v>30</v>
      </c>
      <c r="P14" s="1"/>
    </row>
    <row r="15" customFormat="false" ht="15" hidden="false" customHeight="false" outlineLevel="0" collapsed="false">
      <c r="A15" s="1"/>
      <c r="B15" s="18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3" t="s">
        <v>32</v>
      </c>
      <c r="O15" s="13" t="s">
        <v>33</v>
      </c>
      <c r="P15" s="1"/>
    </row>
    <row r="16" customFormat="false" ht="15" hidden="false" customHeight="false" outlineLevel="0" collapsed="false">
      <c r="A16" s="1"/>
      <c r="B16" s="19" t="s">
        <v>34</v>
      </c>
      <c r="C16" s="16"/>
      <c r="D16" s="16"/>
      <c r="E16" s="16"/>
      <c r="F16" s="1"/>
      <c r="G16" s="1"/>
      <c r="H16" s="1"/>
      <c r="I16" s="1"/>
      <c r="J16" s="1"/>
      <c r="K16" s="1"/>
      <c r="L16" s="1"/>
      <c r="M16" s="1"/>
      <c r="N16" s="1"/>
      <c r="O16" s="17" t="s">
        <v>35</v>
      </c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3" t="s">
        <v>21</v>
      </c>
      <c r="P17" s="1"/>
    </row>
    <row r="18" customFormat="false" ht="19.5" hidden="false" customHeight="true" outlineLevel="0" collapsed="false">
      <c r="A18" s="1"/>
      <c r="B18" s="7" t="s">
        <v>36</v>
      </c>
      <c r="C18" s="8"/>
      <c r="D18" s="8"/>
      <c r="E18" s="8"/>
      <c r="F18" s="1"/>
      <c r="G18" s="1"/>
      <c r="H18" s="1"/>
      <c r="I18" s="1"/>
      <c r="J18" s="1"/>
      <c r="K18" s="1"/>
      <c r="L18" s="1"/>
      <c r="M18" s="1"/>
      <c r="N18" s="1"/>
      <c r="O18" s="17" t="s">
        <v>37</v>
      </c>
      <c r="P18" s="1"/>
    </row>
    <row r="19" customFormat="false" ht="21.75" hidden="false" customHeight="true" outlineLevel="0" collapsed="false">
      <c r="A19" s="1"/>
      <c r="B19" s="10" t="s">
        <v>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3" t="s">
        <v>39</v>
      </c>
      <c r="P19" s="1"/>
    </row>
    <row r="20" customFormat="false" ht="15" hidden="false" customHeight="false" outlineLevel="0" collapsed="false">
      <c r="A20" s="1"/>
      <c r="B20" s="18" t="s">
        <v>40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7" t="s">
        <v>41</v>
      </c>
      <c r="P20" s="1"/>
    </row>
    <row r="21" customFormat="false" ht="15" hidden="false" customHeight="false" outlineLevel="0" collapsed="false">
      <c r="A21" s="1"/>
      <c r="B21" s="20" t="s">
        <v>42</v>
      </c>
      <c r="C21" s="16"/>
      <c r="D21" s="16"/>
      <c r="E21" s="16"/>
      <c r="F21" s="1"/>
      <c r="G21" s="1"/>
      <c r="H21" s="1"/>
      <c r="I21" s="1"/>
      <c r="J21" s="1"/>
      <c r="K21" s="1"/>
      <c r="L21" s="1"/>
      <c r="M21" s="1"/>
      <c r="N21" s="1"/>
      <c r="O21" s="13" t="s">
        <v>43</v>
      </c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7" t="s">
        <v>44</v>
      </c>
      <c r="P22" s="1"/>
    </row>
    <row r="23" customFormat="false" ht="19.5" hidden="false" customHeight="true" outlineLevel="0" collapsed="false">
      <c r="A23" s="1"/>
      <c r="B23" s="1"/>
      <c r="C23" s="1"/>
      <c r="D23" s="1"/>
      <c r="E23" s="7" t="s">
        <v>45</v>
      </c>
      <c r="F23" s="8"/>
      <c r="G23" s="8"/>
      <c r="H23" s="8"/>
      <c r="I23" s="8"/>
      <c r="J23" s="8"/>
      <c r="K23" s="8"/>
      <c r="L23" s="8"/>
      <c r="M23" s="1"/>
      <c r="N23" s="1"/>
      <c r="O23" s="13" t="s">
        <v>46</v>
      </c>
      <c r="P23" s="1"/>
    </row>
    <row r="24" customFormat="false" ht="21.75" hidden="false" customHeight="true" outlineLevel="0" collapsed="false">
      <c r="A24" s="1"/>
      <c r="B24" s="1"/>
      <c r="C24" s="1"/>
      <c r="D24" s="1"/>
      <c r="E24" s="10" t="s">
        <v>47</v>
      </c>
      <c r="F24" s="10" t="s">
        <v>48</v>
      </c>
      <c r="G24" s="10" t="s">
        <v>49</v>
      </c>
      <c r="H24" s="1"/>
      <c r="I24" s="1"/>
      <c r="J24" s="1"/>
      <c r="K24" s="1"/>
      <c r="L24" s="1"/>
      <c r="M24" s="1"/>
      <c r="N24" s="1"/>
      <c r="O24" s="17" t="s">
        <v>50</v>
      </c>
      <c r="P24" s="1"/>
    </row>
    <row r="25" customFormat="false" ht="15" hidden="false" customHeight="false" outlineLevel="0" collapsed="false">
      <c r="A25" s="1"/>
      <c r="B25" s="1"/>
      <c r="C25" s="1"/>
      <c r="D25" s="1"/>
      <c r="E25" s="21" t="s">
        <v>51</v>
      </c>
      <c r="F25" s="22" t="s">
        <v>13</v>
      </c>
      <c r="G25" s="23" t="s">
        <v>14</v>
      </c>
      <c r="H25" s="1"/>
      <c r="I25" s="1"/>
      <c r="J25" s="1"/>
      <c r="K25" s="1"/>
      <c r="L25" s="1"/>
      <c r="M25" s="1"/>
      <c r="N25" s="1"/>
      <c r="O25" s="13" t="s">
        <v>52</v>
      </c>
      <c r="P25" s="1"/>
    </row>
    <row r="26" customFormat="false" ht="15" hidden="false" customHeight="false" outlineLevel="0" collapsed="false">
      <c r="A26" s="1"/>
      <c r="B26" s="1"/>
      <c r="C26" s="1"/>
      <c r="D26" s="1"/>
      <c r="E26" s="24" t="s">
        <v>51</v>
      </c>
      <c r="F26" s="25" t="s">
        <v>13</v>
      </c>
      <c r="G26" s="26" t="s">
        <v>18</v>
      </c>
      <c r="H26" s="16"/>
      <c r="I26" s="1"/>
      <c r="J26" s="1"/>
      <c r="K26" s="1"/>
      <c r="L26" s="1"/>
      <c r="M26" s="1"/>
      <c r="N26" s="1"/>
      <c r="O26" s="17" t="s">
        <v>53</v>
      </c>
      <c r="P26" s="1"/>
    </row>
    <row r="27" customFormat="false" ht="15" hidden="false" customHeight="false" outlineLevel="0" collapsed="false">
      <c r="A27" s="1"/>
      <c r="B27" s="1"/>
      <c r="C27" s="1"/>
      <c r="D27" s="1"/>
      <c r="E27" s="21" t="s">
        <v>51</v>
      </c>
      <c r="F27" s="22" t="s">
        <v>13</v>
      </c>
      <c r="G27" s="23" t="s">
        <v>22</v>
      </c>
      <c r="H27" s="1"/>
      <c r="I27" s="1"/>
      <c r="J27" s="1"/>
      <c r="K27" s="1"/>
      <c r="L27" s="1"/>
      <c r="M27" s="1"/>
      <c r="N27" s="1"/>
      <c r="O27" s="13" t="s">
        <v>54</v>
      </c>
      <c r="P27" s="1"/>
    </row>
    <row r="28" customFormat="false" ht="15" hidden="false" customHeight="false" outlineLevel="0" collapsed="false">
      <c r="A28" s="1"/>
      <c r="B28" s="1"/>
      <c r="C28" s="1"/>
      <c r="D28" s="1"/>
      <c r="E28" s="27" t="s">
        <v>55</v>
      </c>
      <c r="F28" s="25" t="s">
        <v>17</v>
      </c>
      <c r="G28" s="26" t="s">
        <v>24</v>
      </c>
      <c r="H28" s="16"/>
      <c r="I28" s="1"/>
      <c r="J28" s="1"/>
      <c r="K28" s="1"/>
      <c r="L28" s="1"/>
      <c r="M28" s="1"/>
      <c r="N28" s="1"/>
      <c r="O28" s="17" t="s">
        <v>56</v>
      </c>
      <c r="P28" s="1"/>
    </row>
    <row r="29" customFormat="false" ht="15" hidden="false" customHeight="false" outlineLevel="0" collapsed="false">
      <c r="A29" s="1"/>
      <c r="B29" s="1"/>
      <c r="C29" s="1"/>
      <c r="D29" s="1"/>
      <c r="E29" s="28" t="s">
        <v>55</v>
      </c>
      <c r="F29" s="22" t="s">
        <v>17</v>
      </c>
      <c r="G29" s="23" t="s">
        <v>27</v>
      </c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27" t="s">
        <v>55</v>
      </c>
      <c r="F30" s="25" t="s">
        <v>17</v>
      </c>
      <c r="G30" s="26" t="s">
        <v>30</v>
      </c>
      <c r="H30" s="16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28" t="s">
        <v>55</v>
      </c>
      <c r="F31" s="22" t="s">
        <v>17</v>
      </c>
      <c r="G31" s="23" t="s">
        <v>33</v>
      </c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27" t="s">
        <v>55</v>
      </c>
      <c r="F32" s="25" t="s">
        <v>17</v>
      </c>
      <c r="G32" s="26" t="s">
        <v>35</v>
      </c>
      <c r="H32" s="16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28" t="s">
        <v>55</v>
      </c>
      <c r="F33" s="22" t="s">
        <v>21</v>
      </c>
      <c r="G33" s="23" t="s">
        <v>21</v>
      </c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24" t="s">
        <v>51</v>
      </c>
      <c r="F34" s="25" t="s">
        <v>23</v>
      </c>
      <c r="G34" s="26" t="s">
        <v>37</v>
      </c>
      <c r="H34" s="16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21" t="s">
        <v>51</v>
      </c>
      <c r="F35" s="22" t="s">
        <v>23</v>
      </c>
      <c r="G35" s="23" t="s">
        <v>39</v>
      </c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27" t="s">
        <v>55</v>
      </c>
      <c r="F36" s="25" t="s">
        <v>26</v>
      </c>
      <c r="G36" s="26" t="s">
        <v>41</v>
      </c>
      <c r="H36" s="16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28" t="s">
        <v>55</v>
      </c>
      <c r="F37" s="22" t="s">
        <v>26</v>
      </c>
      <c r="G37" s="23" t="s">
        <v>43</v>
      </c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27" t="s">
        <v>55</v>
      </c>
      <c r="F38" s="25" t="s">
        <v>26</v>
      </c>
      <c r="G38" s="26" t="s">
        <v>44</v>
      </c>
      <c r="H38" s="16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28" t="s">
        <v>55</v>
      </c>
      <c r="F39" s="22" t="s">
        <v>29</v>
      </c>
      <c r="G39" s="23" t="s">
        <v>46</v>
      </c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27" t="s">
        <v>55</v>
      </c>
      <c r="F40" s="25" t="s">
        <v>29</v>
      </c>
      <c r="G40" s="26" t="s">
        <v>50</v>
      </c>
      <c r="H40" s="16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28" t="s">
        <v>55</v>
      </c>
      <c r="F41" s="22" t="s">
        <v>29</v>
      </c>
      <c r="G41" s="23" t="s">
        <v>52</v>
      </c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27" t="s">
        <v>55</v>
      </c>
      <c r="F42" s="25" t="s">
        <v>29</v>
      </c>
      <c r="G42" s="26" t="s">
        <v>53</v>
      </c>
      <c r="H42" s="16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29" t="s">
        <v>32</v>
      </c>
      <c r="F43" s="22" t="s">
        <v>32</v>
      </c>
      <c r="G43" s="23" t="s">
        <v>54</v>
      </c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30" t="s">
        <v>32</v>
      </c>
      <c r="F44" s="25" t="s">
        <v>32</v>
      </c>
      <c r="G44" s="26" t="s">
        <v>56</v>
      </c>
      <c r="H44" s="16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9.5" hidden="false" customHeight="true" outlineLevel="0" collapsed="false">
      <c r="A47" s="1"/>
      <c r="B47" s="7" t="s">
        <v>57</v>
      </c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</row>
    <row r="48" customFormat="false" ht="21.75" hidden="false" customHeight="true" outlineLevel="0" collapsed="false">
      <c r="A48" s="1"/>
      <c r="B48" s="10" t="s">
        <v>58</v>
      </c>
      <c r="C48" s="10" t="s">
        <v>59</v>
      </c>
      <c r="D48" s="10" t="s">
        <v>60</v>
      </c>
      <c r="E48" s="10" t="s">
        <v>61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22" t="s">
        <v>62</v>
      </c>
      <c r="C49" s="31" t="n">
        <v>300</v>
      </c>
      <c r="D49" s="31" t="n">
        <v>1200</v>
      </c>
      <c r="E49" s="32" t="n">
        <v>0.85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25" t="s">
        <v>17</v>
      </c>
      <c r="C50" s="31" t="n">
        <v>0</v>
      </c>
      <c r="D50" s="31" t="n">
        <v>5000</v>
      </c>
      <c r="E50" s="32" t="n">
        <v>0.9</v>
      </c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22" t="s">
        <v>63</v>
      </c>
      <c r="C51" s="31" t="n">
        <v>0</v>
      </c>
      <c r="D51" s="31" t="n">
        <v>3000</v>
      </c>
      <c r="E51" s="32" t="n">
        <v>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9.5" hidden="false" customHeight="true" outlineLevel="0" collapsed="false">
      <c r="A54" s="1"/>
      <c r="B54" s="7" t="s">
        <v>64</v>
      </c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21.75" hidden="false" customHeight="true" outlineLevel="0" collapsed="false">
      <c r="A55" s="1"/>
      <c r="B55" s="10" t="s">
        <v>65</v>
      </c>
      <c r="C55" s="10" t="s">
        <v>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22" t="s">
        <v>67</v>
      </c>
      <c r="C56" s="33" t="n">
        <v>25000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25" t="s">
        <v>68</v>
      </c>
      <c r="C57" s="33" t="n">
        <v>5000</v>
      </c>
      <c r="D57" s="16"/>
      <c r="E57" s="1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1C2C"/>
    <pageSetUpPr fitToPage="false"/>
  </sheetPr>
  <dimension ref="A1:V11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6" style="0" width="26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36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/>
      <c r="B2" s="4" t="s">
        <v>0</v>
      </c>
      <c r="C2" s="2"/>
      <c r="D2" s="2"/>
      <c r="E2" s="2"/>
      <c r="F2" s="3" t="s">
        <v>1</v>
      </c>
      <c r="G2" s="2"/>
      <c r="H2" s="2"/>
      <c r="I2" s="2"/>
      <c r="J2" s="4" t="s">
        <v>2</v>
      </c>
      <c r="K2" s="2"/>
      <c r="L2" s="2"/>
      <c r="M2" s="2"/>
      <c r="N2" s="4" t="s">
        <v>3</v>
      </c>
      <c r="O2" s="2"/>
      <c r="P2" s="2"/>
      <c r="Q2" s="2"/>
      <c r="R2" s="2"/>
      <c r="S2" s="2"/>
      <c r="T2" s="2"/>
      <c r="U2" s="2"/>
      <c r="V2" s="2"/>
    </row>
    <row r="3" customFormat="false" ht="4.5" hidden="false" customHeight="true" outlineLevel="0" collapsed="false">
      <c r="A3" s="2"/>
      <c r="B3" s="2"/>
      <c r="C3" s="2"/>
      <c r="D3" s="2"/>
      <c r="E3" s="2"/>
      <c r="F3" s="5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34" t="s">
        <v>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3.5" hidden="false" customHeight="true" outlineLevel="0" collapsed="false">
      <c r="A6" s="1"/>
      <c r="B6" s="9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21.75" hidden="false" customHeight="true" outlineLevel="0" collapsed="false">
      <c r="A7" s="1"/>
      <c r="B7" s="10" t="s">
        <v>71</v>
      </c>
      <c r="C7" s="10" t="s">
        <v>72</v>
      </c>
      <c r="D7" s="10" t="s">
        <v>73</v>
      </c>
      <c r="E7" s="10" t="s">
        <v>74</v>
      </c>
      <c r="F7" s="10" t="s">
        <v>75</v>
      </c>
      <c r="G7" s="10" t="s">
        <v>76</v>
      </c>
      <c r="H7" s="10" t="s">
        <v>77</v>
      </c>
      <c r="I7" s="10" t="s">
        <v>78</v>
      </c>
      <c r="J7" s="10" t="s">
        <v>38</v>
      </c>
      <c r="K7" s="10" t="s">
        <v>79</v>
      </c>
      <c r="L7" s="10" t="s">
        <v>80</v>
      </c>
      <c r="M7" s="1"/>
      <c r="N7" s="1"/>
    </row>
    <row r="8" customFormat="false" ht="15" hidden="false" customHeight="false" outlineLevel="0" collapsed="false">
      <c r="A8" s="1"/>
      <c r="B8" s="35" t="str">
        <f aca="false">IF(C8="","","TX-"&amp;TEXT(YEAR(C8),"0000")&amp;"-"&amp;TEXT(ROW()-7,"0000"))</f>
        <v>TX-2026-0001</v>
      </c>
      <c r="C8" s="36" t="n">
        <v>46175</v>
      </c>
      <c r="D8" s="37" t="s">
        <v>12</v>
      </c>
      <c r="E8" s="37" t="s">
        <v>31</v>
      </c>
      <c r="F8" s="37" t="s">
        <v>13</v>
      </c>
      <c r="G8" s="37" t="s">
        <v>14</v>
      </c>
      <c r="H8" s="38" t="n">
        <v>5000</v>
      </c>
      <c r="I8" s="37" t="s">
        <v>81</v>
      </c>
      <c r="J8" s="39" t="s">
        <v>40</v>
      </c>
      <c r="K8" s="40" t="b">
        <f aca="false">IF(J8="Pending",TRUE(),FALSE())</f>
        <v>0</v>
      </c>
      <c r="L8" s="37"/>
      <c r="M8" s="1"/>
      <c r="N8" s="1"/>
    </row>
    <row r="9" customFormat="false" ht="15" hidden="false" customHeight="false" outlineLevel="0" collapsed="false">
      <c r="A9" s="1"/>
      <c r="B9" s="41" t="str">
        <f aca="false">IF(C9="","","TX-"&amp;TEXT(YEAR(C9),"0000")&amp;"-"&amp;TEXT(ROW()-7,"0000"))</f>
        <v>TX-2026-0002</v>
      </c>
      <c r="C9" s="36" t="n">
        <v>46176</v>
      </c>
      <c r="D9" s="37" t="s">
        <v>12</v>
      </c>
      <c r="E9" s="37" t="s">
        <v>34</v>
      </c>
      <c r="F9" s="37" t="s">
        <v>17</v>
      </c>
      <c r="G9" s="37" t="s">
        <v>24</v>
      </c>
      <c r="H9" s="38" t="n">
        <v>150</v>
      </c>
      <c r="I9" s="37" t="s">
        <v>82</v>
      </c>
      <c r="J9" s="39" t="s">
        <v>40</v>
      </c>
      <c r="K9" s="42" t="b">
        <f aca="false">IF(J9="Pending",TRUE(),FALSE())</f>
        <v>0</v>
      </c>
      <c r="L9" s="37"/>
      <c r="M9" s="1"/>
      <c r="N9" s="1"/>
    </row>
    <row r="10" customFormat="false" ht="15" hidden="false" customHeight="false" outlineLevel="0" collapsed="false">
      <c r="A10" s="1"/>
      <c r="B10" s="35" t="str">
        <f aca="false">IF(C10="","","TX-"&amp;TEXT(YEAR(C10),"0000")&amp;"-"&amp;TEXT(ROW()-7,"0000"))</f>
        <v>TX-2026-0003</v>
      </c>
      <c r="C10" s="36" t="n">
        <v>46177</v>
      </c>
      <c r="D10" s="37" t="s">
        <v>12</v>
      </c>
      <c r="E10" s="37" t="s">
        <v>34</v>
      </c>
      <c r="F10" s="37" t="s">
        <v>17</v>
      </c>
      <c r="G10" s="37" t="s">
        <v>33</v>
      </c>
      <c r="H10" s="38" t="n">
        <v>800</v>
      </c>
      <c r="I10" s="37" t="s">
        <v>83</v>
      </c>
      <c r="J10" s="39" t="s">
        <v>40</v>
      </c>
      <c r="K10" s="40" t="b">
        <f aca="false">IF(J10="Pending",TRUE(),FALSE())</f>
        <v>0</v>
      </c>
      <c r="L10" s="37"/>
      <c r="M10" s="1"/>
      <c r="N10" s="1"/>
    </row>
    <row r="11" customFormat="false" ht="15" hidden="false" customHeight="false" outlineLevel="0" collapsed="false">
      <c r="A11" s="1"/>
      <c r="B11" s="41" t="str">
        <f aca="false">IF(C11="","","TX-"&amp;TEXT(YEAR(C11),"0000")&amp;"-"&amp;TEXT(ROW()-7,"0000"))</f>
        <v>TX-2026-0004</v>
      </c>
      <c r="C11" s="36" t="n">
        <v>46178</v>
      </c>
      <c r="D11" s="37" t="s">
        <v>12</v>
      </c>
      <c r="E11" s="37" t="s">
        <v>34</v>
      </c>
      <c r="F11" s="37" t="s">
        <v>21</v>
      </c>
      <c r="G11" s="37" t="s">
        <v>21</v>
      </c>
      <c r="H11" s="38" t="n">
        <v>3000</v>
      </c>
      <c r="I11" s="37" t="s">
        <v>84</v>
      </c>
      <c r="J11" s="39" t="s">
        <v>40</v>
      </c>
      <c r="K11" s="42" t="b">
        <f aca="false">IF(J11="Pending",TRUE(),FALSE())</f>
        <v>0</v>
      </c>
      <c r="L11" s="37"/>
      <c r="M11" s="1"/>
      <c r="N11" s="1"/>
    </row>
    <row r="12" customFormat="false" ht="15" hidden="false" customHeight="false" outlineLevel="0" collapsed="false">
      <c r="A12" s="1"/>
      <c r="B12" s="35" t="str">
        <f aca="false">IF(C12="","","TX-"&amp;TEXT(YEAR(C12),"0000")&amp;"-"&amp;TEXT(ROW()-7,"0000"))</f>
        <v>TX-2026-0005</v>
      </c>
      <c r="C12" s="36" t="n">
        <v>46178</v>
      </c>
      <c r="D12" s="37" t="s">
        <v>16</v>
      </c>
      <c r="E12" s="37" t="s">
        <v>31</v>
      </c>
      <c r="F12" s="37" t="s">
        <v>23</v>
      </c>
      <c r="G12" s="37" t="s">
        <v>37</v>
      </c>
      <c r="H12" s="38" t="n">
        <v>3000</v>
      </c>
      <c r="I12" s="37" t="s">
        <v>85</v>
      </c>
      <c r="J12" s="39" t="s">
        <v>40</v>
      </c>
      <c r="K12" s="40" t="b">
        <f aca="false">IF(J12="Pending",TRUE(),FALSE())</f>
        <v>0</v>
      </c>
      <c r="L12" s="37"/>
      <c r="M12" s="1"/>
      <c r="N12" s="1"/>
    </row>
    <row r="13" customFormat="false" ht="15" hidden="false" customHeight="false" outlineLevel="0" collapsed="false">
      <c r="A13" s="1"/>
      <c r="B13" s="41" t="str">
        <f aca="false">IF(C13="","","TX-"&amp;TEXT(YEAR(C13),"0000")&amp;"-"&amp;TEXT(ROW()-7,"0000"))</f>
        <v>TX-2026-0006</v>
      </c>
      <c r="C13" s="36" t="n">
        <v>46176</v>
      </c>
      <c r="D13" s="37" t="s">
        <v>16</v>
      </c>
      <c r="E13" s="37" t="s">
        <v>34</v>
      </c>
      <c r="F13" s="37" t="s">
        <v>26</v>
      </c>
      <c r="G13" s="37" t="s">
        <v>41</v>
      </c>
      <c r="H13" s="38" t="n">
        <v>1500</v>
      </c>
      <c r="I13" s="37" t="s">
        <v>86</v>
      </c>
      <c r="J13" s="39" t="s">
        <v>40</v>
      </c>
      <c r="K13" s="42" t="b">
        <f aca="false">IF(J13="Pending",TRUE(),FALSE())</f>
        <v>0</v>
      </c>
      <c r="L13" s="37"/>
      <c r="M13" s="1"/>
      <c r="N13" s="1"/>
    </row>
    <row r="14" customFormat="false" ht="15" hidden="false" customHeight="false" outlineLevel="0" collapsed="false">
      <c r="A14" s="1"/>
      <c r="B14" s="35" t="str">
        <f aca="false">IF(C14="","","TX-"&amp;TEXT(YEAR(C14),"0000")&amp;"-"&amp;TEXT(ROW()-7,"0000"))</f>
        <v>TX-2026-0007</v>
      </c>
      <c r="C14" s="36" t="n">
        <v>46177</v>
      </c>
      <c r="D14" s="37" t="s">
        <v>16</v>
      </c>
      <c r="E14" s="37" t="s">
        <v>34</v>
      </c>
      <c r="F14" s="37" t="s">
        <v>29</v>
      </c>
      <c r="G14" s="37" t="s">
        <v>46</v>
      </c>
      <c r="H14" s="38" t="n">
        <v>85</v>
      </c>
      <c r="I14" s="37" t="s">
        <v>87</v>
      </c>
      <c r="J14" s="39" t="s">
        <v>40</v>
      </c>
      <c r="K14" s="40" t="b">
        <f aca="false">IF(J14="Pending",TRUE(),FALSE())</f>
        <v>0</v>
      </c>
      <c r="L14" s="37"/>
      <c r="M14" s="1"/>
      <c r="N14" s="1"/>
    </row>
    <row r="15" customFormat="false" ht="15" hidden="false" customHeight="false" outlineLevel="0" collapsed="false">
      <c r="A15" s="1"/>
      <c r="B15" s="41" t="str">
        <f aca="false">IF(C15="","","TX-"&amp;TEXT(YEAR(C15),"0000")&amp;"-"&amp;TEXT(ROW()-7,"0000"))</f>
        <v>TX-2026-0008</v>
      </c>
      <c r="C15" s="36" t="n">
        <v>46170</v>
      </c>
      <c r="D15" s="37" t="s">
        <v>12</v>
      </c>
      <c r="E15" s="37" t="s">
        <v>31</v>
      </c>
      <c r="F15" s="37" t="s">
        <v>13</v>
      </c>
      <c r="G15" s="37" t="s">
        <v>18</v>
      </c>
      <c r="H15" s="38" t="n">
        <v>2500</v>
      </c>
      <c r="I15" s="37" t="s">
        <v>88</v>
      </c>
      <c r="J15" s="39" t="s">
        <v>40</v>
      </c>
      <c r="K15" s="42" t="b">
        <f aca="false">IF(J15="Pending",TRUE(),FALSE())</f>
        <v>0</v>
      </c>
      <c r="L15" s="37"/>
      <c r="M15" s="1"/>
      <c r="N15" s="1"/>
    </row>
    <row r="16" customFormat="false" ht="15" hidden="false" customHeight="false" outlineLevel="0" collapsed="false">
      <c r="A16" s="1"/>
      <c r="B16" s="35" t="str">
        <f aca="false">IF(C16="","","TX-"&amp;TEXT(YEAR(C16),"0000")&amp;"-"&amp;TEXT(ROW()-7,"0000"))</f>
        <v>TX-2026-0009</v>
      </c>
      <c r="C16" s="36" t="n">
        <v>46171</v>
      </c>
      <c r="D16" s="37" t="s">
        <v>12</v>
      </c>
      <c r="E16" s="37" t="s">
        <v>34</v>
      </c>
      <c r="F16" s="37" t="s">
        <v>17</v>
      </c>
      <c r="G16" s="37" t="s">
        <v>27</v>
      </c>
      <c r="H16" s="38" t="n">
        <v>4000</v>
      </c>
      <c r="I16" s="37" t="s">
        <v>89</v>
      </c>
      <c r="J16" s="39" t="s">
        <v>40</v>
      </c>
      <c r="K16" s="40" t="b">
        <f aca="false">IF(J16="Pending",TRUE(),FALSE())</f>
        <v>0</v>
      </c>
      <c r="L16" s="37"/>
      <c r="M16" s="1"/>
      <c r="N16" s="1"/>
    </row>
    <row r="17" customFormat="false" ht="15" hidden="false" customHeight="false" outlineLevel="0" collapsed="false">
      <c r="A17" s="1"/>
      <c r="B17" s="41" t="str">
        <f aca="false">IF(C17="","","TX-"&amp;TEXT(YEAR(C17),"0000")&amp;"-"&amp;TEXT(ROW()-7,"0000"))</f>
        <v>TX-2026-0010</v>
      </c>
      <c r="C17" s="36" t="n">
        <v>46168</v>
      </c>
      <c r="D17" s="37" t="s">
        <v>16</v>
      </c>
      <c r="E17" s="37" t="s">
        <v>34</v>
      </c>
      <c r="F17" s="37" t="s">
        <v>26</v>
      </c>
      <c r="G17" s="37" t="s">
        <v>44</v>
      </c>
      <c r="H17" s="38" t="n">
        <v>200</v>
      </c>
      <c r="I17" s="37" t="s">
        <v>90</v>
      </c>
      <c r="J17" s="39" t="s">
        <v>40</v>
      </c>
      <c r="K17" s="42" t="b">
        <f aca="false">IF(J17="Pending",TRUE(),FALSE())</f>
        <v>0</v>
      </c>
      <c r="L17" s="37"/>
      <c r="M17" s="1"/>
      <c r="N17" s="1"/>
    </row>
    <row r="18" customFormat="false" ht="15" hidden="false" customHeight="false" outlineLevel="0" collapsed="false">
      <c r="A18" s="1"/>
      <c r="B18" s="35" t="str">
        <f aca="false">IF(C18="","","TX-"&amp;TEXT(YEAR(C18),"0000")&amp;"-"&amp;TEXT(ROW()-7,"0000"))</f>
        <v>TX-2026-0011</v>
      </c>
      <c r="C18" s="36" t="n">
        <v>46169</v>
      </c>
      <c r="D18" s="37" t="s">
        <v>16</v>
      </c>
      <c r="E18" s="37" t="s">
        <v>34</v>
      </c>
      <c r="F18" s="37" t="s">
        <v>29</v>
      </c>
      <c r="G18" s="37" t="s">
        <v>50</v>
      </c>
      <c r="H18" s="38" t="n">
        <v>150</v>
      </c>
      <c r="I18" s="37" t="s">
        <v>91</v>
      </c>
      <c r="J18" s="39" t="s">
        <v>40</v>
      </c>
      <c r="K18" s="40" t="b">
        <f aca="false">IF(J18="Pending",TRUE(),FALSE())</f>
        <v>0</v>
      </c>
      <c r="L18" s="37"/>
      <c r="M18" s="1"/>
      <c r="N18" s="1"/>
    </row>
    <row r="19" customFormat="false" ht="15" hidden="false" customHeight="false" outlineLevel="0" collapsed="false">
      <c r="A19" s="1"/>
      <c r="B19" s="41" t="str">
        <f aca="false">IF(C19="","","TX-"&amp;TEXT(YEAR(C19),"0000")&amp;"-"&amp;TEXT(ROW()-7,"0000"))</f>
        <v>TX-2026-0012</v>
      </c>
      <c r="C19" s="36" t="n">
        <v>46179</v>
      </c>
      <c r="D19" s="37" t="s">
        <v>16</v>
      </c>
      <c r="E19" s="37" t="s">
        <v>34</v>
      </c>
      <c r="F19" s="37" t="s">
        <v>29</v>
      </c>
      <c r="G19" s="37" t="s">
        <v>53</v>
      </c>
      <c r="H19" s="38" t="n">
        <v>45</v>
      </c>
      <c r="I19" s="37" t="s">
        <v>92</v>
      </c>
      <c r="J19" s="43" t="s">
        <v>42</v>
      </c>
      <c r="K19" s="42" t="b">
        <f aca="false">IF(J19="Pending",TRUE(),FALSE())</f>
        <v>1</v>
      </c>
      <c r="L19" s="37"/>
      <c r="M19" s="1"/>
      <c r="N19" s="1"/>
    </row>
    <row r="20" customFormat="false" ht="15" hidden="false" customHeight="false" outlineLevel="0" collapsed="false">
      <c r="A20" s="1"/>
      <c r="B20" s="35" t="str">
        <f aca="false">IF(C20="","","TX-"&amp;TEXT(YEAR(C20),"0000")&amp;"-"&amp;TEXT(ROW()-7,"0000"))</f>
        <v/>
      </c>
      <c r="C20" s="36"/>
      <c r="D20" s="37"/>
      <c r="E20" s="37"/>
      <c r="F20" s="37"/>
      <c r="G20" s="37"/>
      <c r="H20" s="38"/>
      <c r="I20" s="37"/>
      <c r="J20" s="37"/>
      <c r="K20" s="40" t="b">
        <f aca="false">IF(J20="Pending",TRUE(),FALSE())</f>
        <v>0</v>
      </c>
      <c r="L20" s="37"/>
      <c r="M20" s="1"/>
      <c r="N20" s="1"/>
    </row>
    <row r="21" customFormat="false" ht="15" hidden="false" customHeight="false" outlineLevel="0" collapsed="false">
      <c r="A21" s="1"/>
      <c r="B21" s="41" t="str">
        <f aca="false">IF(C21="","","TX-"&amp;TEXT(YEAR(C21),"0000")&amp;"-"&amp;TEXT(ROW()-7,"0000"))</f>
        <v/>
      </c>
      <c r="C21" s="36"/>
      <c r="D21" s="37"/>
      <c r="E21" s="37"/>
      <c r="F21" s="37"/>
      <c r="G21" s="37"/>
      <c r="H21" s="38"/>
      <c r="I21" s="37"/>
      <c r="J21" s="37"/>
      <c r="K21" s="42" t="b">
        <f aca="false">IF(J21="Pending",TRUE(),FALSE())</f>
        <v>0</v>
      </c>
      <c r="L21" s="37"/>
      <c r="M21" s="1"/>
      <c r="N21" s="1"/>
    </row>
    <row r="22" customFormat="false" ht="15" hidden="false" customHeight="false" outlineLevel="0" collapsed="false">
      <c r="A22" s="1"/>
      <c r="B22" s="35" t="str">
        <f aca="false">IF(C22="","","TX-"&amp;TEXT(YEAR(C22),"0000")&amp;"-"&amp;TEXT(ROW()-7,"0000"))</f>
        <v/>
      </c>
      <c r="C22" s="36"/>
      <c r="D22" s="37"/>
      <c r="E22" s="37"/>
      <c r="F22" s="37"/>
      <c r="G22" s="37"/>
      <c r="H22" s="38"/>
      <c r="I22" s="37"/>
      <c r="J22" s="37"/>
      <c r="K22" s="40" t="b">
        <f aca="false">IF(J22="Pending",TRUE(),FALSE())</f>
        <v>0</v>
      </c>
      <c r="L22" s="37"/>
      <c r="M22" s="1"/>
      <c r="N22" s="1"/>
    </row>
    <row r="23" customFormat="false" ht="15" hidden="false" customHeight="false" outlineLevel="0" collapsed="false">
      <c r="A23" s="1"/>
      <c r="B23" s="41" t="str">
        <f aca="false">IF(C23="","","TX-"&amp;TEXT(YEAR(C23),"0000")&amp;"-"&amp;TEXT(ROW()-7,"0000"))</f>
        <v/>
      </c>
      <c r="C23" s="36"/>
      <c r="D23" s="37"/>
      <c r="E23" s="37"/>
      <c r="F23" s="37"/>
      <c r="G23" s="37"/>
      <c r="H23" s="38"/>
      <c r="I23" s="37"/>
      <c r="J23" s="37"/>
      <c r="K23" s="42" t="b">
        <f aca="false">IF(J23="Pending",TRUE(),FALSE())</f>
        <v>0</v>
      </c>
      <c r="L23" s="37"/>
      <c r="M23" s="1"/>
      <c r="N23" s="1"/>
    </row>
    <row r="24" customFormat="false" ht="15" hidden="false" customHeight="false" outlineLevel="0" collapsed="false">
      <c r="A24" s="1"/>
      <c r="B24" s="35" t="str">
        <f aca="false">IF(C24="","","TX-"&amp;TEXT(YEAR(C24),"0000")&amp;"-"&amp;TEXT(ROW()-7,"0000"))</f>
        <v/>
      </c>
      <c r="C24" s="36"/>
      <c r="D24" s="37"/>
      <c r="E24" s="37"/>
      <c r="F24" s="37"/>
      <c r="G24" s="37"/>
      <c r="H24" s="38"/>
      <c r="I24" s="37"/>
      <c r="J24" s="37"/>
      <c r="K24" s="40" t="b">
        <f aca="false">IF(J24="Pending",TRUE(),FALSE())</f>
        <v>0</v>
      </c>
      <c r="L24" s="37"/>
      <c r="M24" s="1"/>
      <c r="N24" s="1"/>
    </row>
    <row r="25" customFormat="false" ht="15" hidden="false" customHeight="false" outlineLevel="0" collapsed="false">
      <c r="A25" s="1"/>
      <c r="B25" s="41" t="str">
        <f aca="false">IF(C25="","","TX-"&amp;TEXT(YEAR(C25),"0000")&amp;"-"&amp;TEXT(ROW()-7,"0000"))</f>
        <v/>
      </c>
      <c r="C25" s="36"/>
      <c r="D25" s="37"/>
      <c r="E25" s="37"/>
      <c r="F25" s="37"/>
      <c r="G25" s="37"/>
      <c r="H25" s="38"/>
      <c r="I25" s="37"/>
      <c r="J25" s="37"/>
      <c r="K25" s="42" t="b">
        <f aca="false">IF(J25="Pending",TRUE(),FALSE())</f>
        <v>0</v>
      </c>
      <c r="L25" s="37"/>
      <c r="M25" s="1"/>
      <c r="N25" s="1"/>
    </row>
    <row r="26" customFormat="false" ht="15" hidden="false" customHeight="false" outlineLevel="0" collapsed="false">
      <c r="A26" s="1"/>
      <c r="B26" s="35" t="str">
        <f aca="false">IF(C26="","","TX-"&amp;TEXT(YEAR(C26),"0000")&amp;"-"&amp;TEXT(ROW()-7,"0000"))</f>
        <v/>
      </c>
      <c r="C26" s="36"/>
      <c r="D26" s="37"/>
      <c r="E26" s="37"/>
      <c r="F26" s="37"/>
      <c r="G26" s="37"/>
      <c r="H26" s="38"/>
      <c r="I26" s="37"/>
      <c r="J26" s="37"/>
      <c r="K26" s="40" t="b">
        <f aca="false">IF(J26="Pending",TRUE(),FALSE())</f>
        <v>0</v>
      </c>
      <c r="L26" s="37"/>
      <c r="M26" s="1"/>
      <c r="N26" s="1"/>
    </row>
    <row r="27" customFormat="false" ht="15" hidden="false" customHeight="false" outlineLevel="0" collapsed="false">
      <c r="A27" s="1"/>
      <c r="B27" s="41" t="str">
        <f aca="false">IF(C27="","","TX-"&amp;TEXT(YEAR(C27),"0000")&amp;"-"&amp;TEXT(ROW()-7,"0000"))</f>
        <v/>
      </c>
      <c r="C27" s="36"/>
      <c r="D27" s="37"/>
      <c r="E27" s="37"/>
      <c r="F27" s="37"/>
      <c r="G27" s="37"/>
      <c r="H27" s="38"/>
      <c r="I27" s="37"/>
      <c r="J27" s="37"/>
      <c r="K27" s="42" t="b">
        <f aca="false">IF(J27="Pending",TRUE(),FALSE())</f>
        <v>0</v>
      </c>
      <c r="L27" s="37"/>
      <c r="M27" s="1"/>
      <c r="N27" s="1"/>
    </row>
    <row r="28" customFormat="false" ht="15" hidden="false" customHeight="false" outlineLevel="0" collapsed="false">
      <c r="A28" s="1"/>
      <c r="B28" s="35" t="str">
        <f aca="false">IF(C28="","","TX-"&amp;TEXT(YEAR(C28),"0000")&amp;"-"&amp;TEXT(ROW()-7,"0000"))</f>
        <v/>
      </c>
      <c r="C28" s="36"/>
      <c r="D28" s="37"/>
      <c r="E28" s="37"/>
      <c r="F28" s="37"/>
      <c r="G28" s="37"/>
      <c r="H28" s="38"/>
      <c r="I28" s="37"/>
      <c r="J28" s="37"/>
      <c r="K28" s="40" t="b">
        <f aca="false">IF(J28="Pending",TRUE(),FALSE())</f>
        <v>0</v>
      </c>
      <c r="L28" s="37"/>
      <c r="M28" s="1"/>
      <c r="N28" s="1"/>
    </row>
    <row r="29" customFormat="false" ht="15" hidden="false" customHeight="false" outlineLevel="0" collapsed="false">
      <c r="A29" s="1"/>
      <c r="B29" s="41" t="str">
        <f aca="false">IF(C29="","","TX-"&amp;TEXT(YEAR(C29),"0000")&amp;"-"&amp;TEXT(ROW()-7,"0000"))</f>
        <v/>
      </c>
      <c r="C29" s="36"/>
      <c r="D29" s="37"/>
      <c r="E29" s="37"/>
      <c r="F29" s="37"/>
      <c r="G29" s="37"/>
      <c r="H29" s="38"/>
      <c r="I29" s="37"/>
      <c r="J29" s="37"/>
      <c r="K29" s="42" t="b">
        <f aca="false">IF(J29="Pending",TRUE(),FALSE())</f>
        <v>0</v>
      </c>
      <c r="L29" s="37"/>
      <c r="M29" s="1"/>
      <c r="N29" s="1"/>
    </row>
    <row r="30" customFormat="false" ht="15" hidden="false" customHeight="false" outlineLevel="0" collapsed="false">
      <c r="A30" s="1"/>
      <c r="B30" s="35" t="str">
        <f aca="false">IF(C30="","","TX-"&amp;TEXT(YEAR(C30),"0000")&amp;"-"&amp;TEXT(ROW()-7,"0000"))</f>
        <v/>
      </c>
      <c r="C30" s="36"/>
      <c r="D30" s="37"/>
      <c r="E30" s="37"/>
      <c r="F30" s="37"/>
      <c r="G30" s="37"/>
      <c r="H30" s="38"/>
      <c r="I30" s="37"/>
      <c r="J30" s="37"/>
      <c r="K30" s="40" t="b">
        <f aca="false">IF(J30="Pending",TRUE(),FALSE())</f>
        <v>0</v>
      </c>
      <c r="L30" s="37"/>
      <c r="M30" s="1"/>
      <c r="N30" s="1"/>
    </row>
    <row r="31" customFormat="false" ht="15" hidden="false" customHeight="false" outlineLevel="0" collapsed="false">
      <c r="A31" s="1"/>
      <c r="B31" s="41" t="str">
        <f aca="false">IF(C31="","","TX-"&amp;TEXT(YEAR(C31),"0000")&amp;"-"&amp;TEXT(ROW()-7,"0000"))</f>
        <v/>
      </c>
      <c r="C31" s="36"/>
      <c r="D31" s="37"/>
      <c r="E31" s="37"/>
      <c r="F31" s="37"/>
      <c r="G31" s="37"/>
      <c r="H31" s="38"/>
      <c r="I31" s="37"/>
      <c r="J31" s="37"/>
      <c r="K31" s="42" t="b">
        <f aca="false">IF(J31="Pending",TRUE(),FALSE())</f>
        <v>0</v>
      </c>
      <c r="L31" s="37"/>
      <c r="M31" s="1"/>
      <c r="N31" s="1"/>
    </row>
    <row r="32" customFormat="false" ht="15" hidden="false" customHeight="false" outlineLevel="0" collapsed="false">
      <c r="A32" s="1"/>
      <c r="B32" s="35" t="str">
        <f aca="false">IF(C32="","","TX-"&amp;TEXT(YEAR(C32),"0000")&amp;"-"&amp;TEXT(ROW()-7,"0000"))</f>
        <v/>
      </c>
      <c r="C32" s="36"/>
      <c r="D32" s="37"/>
      <c r="E32" s="37"/>
      <c r="F32" s="37"/>
      <c r="G32" s="37"/>
      <c r="H32" s="38"/>
      <c r="I32" s="37"/>
      <c r="J32" s="37"/>
      <c r="K32" s="40" t="b">
        <f aca="false">IF(J32="Pending",TRUE(),FALSE())</f>
        <v>0</v>
      </c>
      <c r="L32" s="37"/>
      <c r="M32" s="1"/>
      <c r="N32" s="1"/>
    </row>
    <row r="33" customFormat="false" ht="15" hidden="false" customHeight="false" outlineLevel="0" collapsed="false">
      <c r="A33" s="1"/>
      <c r="B33" s="41" t="str">
        <f aca="false">IF(C33="","","TX-"&amp;TEXT(YEAR(C33),"0000")&amp;"-"&amp;TEXT(ROW()-7,"0000"))</f>
        <v/>
      </c>
      <c r="C33" s="36"/>
      <c r="D33" s="37"/>
      <c r="E33" s="37"/>
      <c r="F33" s="37"/>
      <c r="G33" s="37"/>
      <c r="H33" s="38"/>
      <c r="I33" s="37"/>
      <c r="J33" s="37"/>
      <c r="K33" s="42" t="b">
        <f aca="false">IF(J33="Pending",TRUE(),FALSE())</f>
        <v>0</v>
      </c>
      <c r="L33" s="37"/>
      <c r="M33" s="1"/>
      <c r="N33" s="1"/>
    </row>
    <row r="34" customFormat="false" ht="15" hidden="false" customHeight="false" outlineLevel="0" collapsed="false">
      <c r="A34" s="1"/>
      <c r="B34" s="35" t="str">
        <f aca="false">IF(C34="","","TX-"&amp;TEXT(YEAR(C34),"0000")&amp;"-"&amp;TEXT(ROW()-7,"0000"))</f>
        <v/>
      </c>
      <c r="C34" s="36"/>
      <c r="D34" s="37"/>
      <c r="E34" s="37"/>
      <c r="F34" s="37"/>
      <c r="G34" s="37"/>
      <c r="H34" s="38"/>
      <c r="I34" s="37"/>
      <c r="J34" s="37"/>
      <c r="K34" s="40" t="b">
        <f aca="false">IF(J34="Pending",TRUE(),FALSE())</f>
        <v>0</v>
      </c>
      <c r="L34" s="37"/>
      <c r="M34" s="1"/>
      <c r="N34" s="1"/>
    </row>
    <row r="35" customFormat="false" ht="15" hidden="false" customHeight="false" outlineLevel="0" collapsed="false">
      <c r="A35" s="1"/>
      <c r="B35" s="41" t="str">
        <f aca="false">IF(C35="","","TX-"&amp;TEXT(YEAR(C35),"0000")&amp;"-"&amp;TEXT(ROW()-7,"0000"))</f>
        <v/>
      </c>
      <c r="C35" s="36"/>
      <c r="D35" s="37"/>
      <c r="E35" s="37"/>
      <c r="F35" s="37"/>
      <c r="G35" s="37"/>
      <c r="H35" s="38"/>
      <c r="I35" s="37"/>
      <c r="J35" s="37"/>
      <c r="K35" s="42" t="b">
        <f aca="false">IF(J35="Pending",TRUE(),FALSE())</f>
        <v>0</v>
      </c>
      <c r="L35" s="37"/>
      <c r="M35" s="1"/>
      <c r="N35" s="1"/>
    </row>
    <row r="36" customFormat="false" ht="15" hidden="false" customHeight="false" outlineLevel="0" collapsed="false">
      <c r="A36" s="1"/>
      <c r="B36" s="35" t="str">
        <f aca="false">IF(C36="","","TX-"&amp;TEXT(YEAR(C36),"0000")&amp;"-"&amp;TEXT(ROW()-7,"0000"))</f>
        <v/>
      </c>
      <c r="C36" s="36"/>
      <c r="D36" s="37"/>
      <c r="E36" s="37"/>
      <c r="F36" s="37"/>
      <c r="G36" s="37"/>
      <c r="H36" s="38"/>
      <c r="I36" s="37"/>
      <c r="J36" s="37"/>
      <c r="K36" s="40" t="b">
        <f aca="false">IF(J36="Pending",TRUE(),FALSE())</f>
        <v>0</v>
      </c>
      <c r="L36" s="37"/>
      <c r="M36" s="1"/>
      <c r="N36" s="1"/>
    </row>
    <row r="37" customFormat="false" ht="15" hidden="false" customHeight="false" outlineLevel="0" collapsed="false">
      <c r="A37" s="1"/>
      <c r="B37" s="41" t="str">
        <f aca="false">IF(C37="","","TX-"&amp;TEXT(YEAR(C37),"0000")&amp;"-"&amp;TEXT(ROW()-7,"0000"))</f>
        <v/>
      </c>
      <c r="C37" s="36"/>
      <c r="D37" s="37"/>
      <c r="E37" s="37"/>
      <c r="F37" s="37"/>
      <c r="G37" s="37"/>
      <c r="H37" s="38"/>
      <c r="I37" s="37"/>
      <c r="J37" s="37"/>
      <c r="K37" s="42" t="b">
        <f aca="false">IF(J37="Pending",TRUE(),FALSE())</f>
        <v>0</v>
      </c>
      <c r="L37" s="37"/>
      <c r="M37" s="1"/>
      <c r="N37" s="1"/>
    </row>
    <row r="38" customFormat="false" ht="15" hidden="false" customHeight="false" outlineLevel="0" collapsed="false">
      <c r="A38" s="1"/>
      <c r="B38" s="35" t="str">
        <f aca="false">IF(C38="","","TX-"&amp;TEXT(YEAR(C38),"0000")&amp;"-"&amp;TEXT(ROW()-7,"0000"))</f>
        <v/>
      </c>
      <c r="C38" s="36"/>
      <c r="D38" s="37"/>
      <c r="E38" s="37"/>
      <c r="F38" s="37"/>
      <c r="G38" s="37"/>
      <c r="H38" s="38"/>
      <c r="I38" s="37"/>
      <c r="J38" s="37"/>
      <c r="K38" s="40" t="b">
        <f aca="false">IF(J38="Pending",TRUE(),FALSE())</f>
        <v>0</v>
      </c>
      <c r="L38" s="37"/>
      <c r="M38" s="1"/>
      <c r="N38" s="1"/>
    </row>
    <row r="39" customFormat="false" ht="15" hidden="false" customHeight="false" outlineLevel="0" collapsed="false">
      <c r="A39" s="1"/>
      <c r="B39" s="41" t="str">
        <f aca="false">IF(C39="","","TX-"&amp;TEXT(YEAR(C39),"0000")&amp;"-"&amp;TEXT(ROW()-7,"0000"))</f>
        <v/>
      </c>
      <c r="C39" s="36"/>
      <c r="D39" s="37"/>
      <c r="E39" s="37"/>
      <c r="F39" s="37"/>
      <c r="G39" s="37"/>
      <c r="H39" s="38"/>
      <c r="I39" s="37"/>
      <c r="J39" s="37"/>
      <c r="K39" s="42" t="b">
        <f aca="false">IF(J39="Pending",TRUE(),FALSE())</f>
        <v>0</v>
      </c>
      <c r="L39" s="37"/>
      <c r="M39" s="1"/>
      <c r="N39" s="1"/>
    </row>
    <row r="40" customFormat="false" ht="15" hidden="false" customHeight="false" outlineLevel="0" collapsed="false">
      <c r="A40" s="1"/>
      <c r="B40" s="35" t="str">
        <f aca="false">IF(C40="","","TX-"&amp;TEXT(YEAR(C40),"0000")&amp;"-"&amp;TEXT(ROW()-7,"0000"))</f>
        <v/>
      </c>
      <c r="C40" s="36"/>
      <c r="D40" s="37"/>
      <c r="E40" s="37"/>
      <c r="F40" s="37"/>
      <c r="G40" s="37"/>
      <c r="H40" s="38"/>
      <c r="I40" s="37"/>
      <c r="J40" s="37"/>
      <c r="K40" s="40" t="b">
        <f aca="false">IF(J40="Pending",TRUE(),FALSE())</f>
        <v>0</v>
      </c>
      <c r="L40" s="37"/>
      <c r="M40" s="1"/>
      <c r="N40" s="1"/>
    </row>
    <row r="41" customFormat="false" ht="15" hidden="false" customHeight="false" outlineLevel="0" collapsed="false">
      <c r="A41" s="1"/>
      <c r="B41" s="41" t="str">
        <f aca="false">IF(C41="","","TX-"&amp;TEXT(YEAR(C41),"0000")&amp;"-"&amp;TEXT(ROW()-7,"0000"))</f>
        <v/>
      </c>
      <c r="C41" s="36"/>
      <c r="D41" s="37"/>
      <c r="E41" s="37"/>
      <c r="F41" s="37"/>
      <c r="G41" s="37"/>
      <c r="H41" s="38"/>
      <c r="I41" s="37"/>
      <c r="J41" s="37"/>
      <c r="K41" s="42" t="b">
        <f aca="false">IF(J41="Pending",TRUE(),FALSE())</f>
        <v>0</v>
      </c>
      <c r="L41" s="37"/>
      <c r="M41" s="1"/>
      <c r="N41" s="1"/>
    </row>
    <row r="42" customFormat="false" ht="15" hidden="false" customHeight="false" outlineLevel="0" collapsed="false">
      <c r="A42" s="1"/>
      <c r="B42" s="35" t="str">
        <f aca="false">IF(C42="","","TX-"&amp;TEXT(YEAR(C42),"0000")&amp;"-"&amp;TEXT(ROW()-7,"0000"))</f>
        <v/>
      </c>
      <c r="C42" s="36"/>
      <c r="D42" s="37"/>
      <c r="E42" s="37"/>
      <c r="F42" s="37"/>
      <c r="G42" s="37"/>
      <c r="H42" s="38"/>
      <c r="I42" s="37"/>
      <c r="J42" s="37"/>
      <c r="K42" s="40" t="b">
        <f aca="false">IF(J42="Pending",TRUE(),FALSE())</f>
        <v>0</v>
      </c>
      <c r="L42" s="37"/>
      <c r="M42" s="1"/>
      <c r="N42" s="1"/>
    </row>
    <row r="43" customFormat="false" ht="15" hidden="false" customHeight="false" outlineLevel="0" collapsed="false">
      <c r="A43" s="1"/>
      <c r="B43" s="41" t="str">
        <f aca="false">IF(C43="","","TX-"&amp;TEXT(YEAR(C43),"0000")&amp;"-"&amp;TEXT(ROW()-7,"0000"))</f>
        <v/>
      </c>
      <c r="C43" s="36"/>
      <c r="D43" s="37"/>
      <c r="E43" s="37"/>
      <c r="F43" s="37"/>
      <c r="G43" s="37"/>
      <c r="H43" s="38"/>
      <c r="I43" s="37"/>
      <c r="J43" s="37"/>
      <c r="K43" s="42" t="b">
        <f aca="false">IF(J43="Pending",TRUE(),FALSE())</f>
        <v>0</v>
      </c>
      <c r="L43" s="37"/>
      <c r="M43" s="1"/>
      <c r="N43" s="1"/>
    </row>
    <row r="44" customFormat="false" ht="15" hidden="false" customHeight="false" outlineLevel="0" collapsed="false">
      <c r="A44" s="1"/>
      <c r="B44" s="35" t="str">
        <f aca="false">IF(C44="","","TX-"&amp;TEXT(YEAR(C44),"0000")&amp;"-"&amp;TEXT(ROW()-7,"0000"))</f>
        <v/>
      </c>
      <c r="C44" s="36"/>
      <c r="D44" s="37"/>
      <c r="E44" s="37"/>
      <c r="F44" s="37"/>
      <c r="G44" s="37"/>
      <c r="H44" s="38"/>
      <c r="I44" s="37"/>
      <c r="J44" s="37"/>
      <c r="K44" s="40" t="b">
        <f aca="false">IF(J44="Pending",TRUE(),FALSE())</f>
        <v>0</v>
      </c>
      <c r="L44" s="37"/>
      <c r="M44" s="1"/>
      <c r="N44" s="1"/>
    </row>
    <row r="45" customFormat="false" ht="15" hidden="false" customHeight="false" outlineLevel="0" collapsed="false">
      <c r="A45" s="1"/>
      <c r="B45" s="41" t="str">
        <f aca="false">IF(C45="","","TX-"&amp;TEXT(YEAR(C45),"0000")&amp;"-"&amp;TEXT(ROW()-7,"0000"))</f>
        <v/>
      </c>
      <c r="C45" s="36"/>
      <c r="D45" s="37"/>
      <c r="E45" s="37"/>
      <c r="F45" s="37"/>
      <c r="G45" s="37"/>
      <c r="H45" s="38"/>
      <c r="I45" s="37"/>
      <c r="J45" s="37"/>
      <c r="K45" s="42" t="b">
        <f aca="false">IF(J45="Pending",TRUE(),FALSE())</f>
        <v>0</v>
      </c>
      <c r="L45" s="37"/>
      <c r="M45" s="1"/>
      <c r="N45" s="1"/>
    </row>
    <row r="46" customFormat="false" ht="15" hidden="false" customHeight="false" outlineLevel="0" collapsed="false">
      <c r="A46" s="1"/>
      <c r="B46" s="35" t="str">
        <f aca="false">IF(C46="","","TX-"&amp;TEXT(YEAR(C46),"0000")&amp;"-"&amp;TEXT(ROW()-7,"0000"))</f>
        <v/>
      </c>
      <c r="C46" s="36"/>
      <c r="D46" s="37"/>
      <c r="E46" s="37"/>
      <c r="F46" s="37"/>
      <c r="G46" s="37"/>
      <c r="H46" s="38"/>
      <c r="I46" s="37"/>
      <c r="J46" s="37"/>
      <c r="K46" s="40" t="b">
        <f aca="false">IF(J46="Pending",TRUE(),FALSE())</f>
        <v>0</v>
      </c>
      <c r="L46" s="37"/>
      <c r="M46" s="1"/>
      <c r="N46" s="1"/>
    </row>
    <row r="47" customFormat="false" ht="15" hidden="false" customHeight="false" outlineLevel="0" collapsed="false">
      <c r="A47" s="1"/>
      <c r="B47" s="41" t="str">
        <f aca="false">IF(C47="","","TX-"&amp;TEXT(YEAR(C47),"0000")&amp;"-"&amp;TEXT(ROW()-7,"0000"))</f>
        <v/>
      </c>
      <c r="C47" s="36"/>
      <c r="D47" s="37"/>
      <c r="E47" s="37"/>
      <c r="F47" s="37"/>
      <c r="G47" s="37"/>
      <c r="H47" s="38"/>
      <c r="I47" s="37"/>
      <c r="J47" s="37"/>
      <c r="K47" s="42" t="b">
        <f aca="false">IF(J47="Pending",TRUE(),FALSE())</f>
        <v>0</v>
      </c>
      <c r="L47" s="37"/>
      <c r="M47" s="1"/>
      <c r="N47" s="1"/>
    </row>
    <row r="48" customFormat="false" ht="15" hidden="false" customHeight="false" outlineLevel="0" collapsed="false">
      <c r="A48" s="1"/>
      <c r="B48" s="35" t="str">
        <f aca="false">IF(C48="","","TX-"&amp;TEXT(YEAR(C48),"0000")&amp;"-"&amp;TEXT(ROW()-7,"0000"))</f>
        <v/>
      </c>
      <c r="C48" s="36"/>
      <c r="D48" s="37"/>
      <c r="E48" s="37"/>
      <c r="F48" s="37"/>
      <c r="G48" s="37"/>
      <c r="H48" s="38"/>
      <c r="I48" s="37"/>
      <c r="J48" s="37"/>
      <c r="K48" s="40" t="b">
        <f aca="false">IF(J48="Pending",TRUE(),FALSE())</f>
        <v>0</v>
      </c>
      <c r="L48" s="37"/>
      <c r="M48" s="1"/>
      <c r="N48" s="1"/>
    </row>
    <row r="49" customFormat="false" ht="15" hidden="false" customHeight="false" outlineLevel="0" collapsed="false">
      <c r="A49" s="1"/>
      <c r="B49" s="41" t="str">
        <f aca="false">IF(C49="","","TX-"&amp;TEXT(YEAR(C49),"0000")&amp;"-"&amp;TEXT(ROW()-7,"0000"))</f>
        <v/>
      </c>
      <c r="C49" s="36"/>
      <c r="D49" s="37"/>
      <c r="E49" s="37"/>
      <c r="F49" s="37"/>
      <c r="G49" s="37"/>
      <c r="H49" s="38"/>
      <c r="I49" s="37"/>
      <c r="J49" s="37"/>
      <c r="K49" s="42" t="b">
        <f aca="false">IF(J49="Pending",TRUE(),FALSE())</f>
        <v>0</v>
      </c>
      <c r="L49" s="37"/>
      <c r="M49" s="1"/>
      <c r="N49" s="1"/>
    </row>
    <row r="50" customFormat="false" ht="15" hidden="false" customHeight="false" outlineLevel="0" collapsed="false">
      <c r="A50" s="1"/>
      <c r="B50" s="35" t="str">
        <f aca="false">IF(C50="","","TX-"&amp;TEXT(YEAR(C50),"0000")&amp;"-"&amp;TEXT(ROW()-7,"0000"))</f>
        <v/>
      </c>
      <c r="C50" s="36"/>
      <c r="D50" s="37"/>
      <c r="E50" s="37"/>
      <c r="F50" s="37"/>
      <c r="G50" s="37"/>
      <c r="H50" s="38"/>
      <c r="I50" s="37"/>
      <c r="J50" s="37"/>
      <c r="K50" s="40" t="b">
        <f aca="false">IF(J50="Pending",TRUE(),FALSE())</f>
        <v>0</v>
      </c>
      <c r="L50" s="37"/>
      <c r="M50" s="1"/>
      <c r="N50" s="1"/>
    </row>
    <row r="51" customFormat="false" ht="15" hidden="false" customHeight="false" outlineLevel="0" collapsed="false">
      <c r="A51" s="1"/>
      <c r="B51" s="41" t="str">
        <f aca="false">IF(C51="","","TX-"&amp;TEXT(YEAR(C51),"0000")&amp;"-"&amp;TEXT(ROW()-7,"0000"))</f>
        <v/>
      </c>
      <c r="C51" s="36"/>
      <c r="D51" s="37"/>
      <c r="E51" s="37"/>
      <c r="F51" s="37"/>
      <c r="G51" s="37"/>
      <c r="H51" s="38"/>
      <c r="I51" s="37"/>
      <c r="J51" s="37"/>
      <c r="K51" s="42" t="b">
        <f aca="false">IF(J51="Pending",TRUE(),FALSE())</f>
        <v>0</v>
      </c>
      <c r="L51" s="37"/>
      <c r="M51" s="1"/>
      <c r="N51" s="1"/>
    </row>
    <row r="52" customFormat="false" ht="15" hidden="false" customHeight="false" outlineLevel="0" collapsed="false">
      <c r="A52" s="1"/>
      <c r="B52" s="35" t="str">
        <f aca="false">IF(C52="","","TX-"&amp;TEXT(YEAR(C52),"0000")&amp;"-"&amp;TEXT(ROW()-7,"0000"))</f>
        <v/>
      </c>
      <c r="C52" s="36"/>
      <c r="D52" s="37"/>
      <c r="E52" s="37"/>
      <c r="F52" s="37"/>
      <c r="G52" s="37"/>
      <c r="H52" s="38"/>
      <c r="I52" s="37"/>
      <c r="J52" s="37"/>
      <c r="K52" s="40" t="b">
        <f aca="false">IF(J52="Pending",TRUE(),FALSE())</f>
        <v>0</v>
      </c>
      <c r="L52" s="37"/>
      <c r="M52" s="1"/>
      <c r="N52" s="1"/>
    </row>
    <row r="53" customFormat="false" ht="15" hidden="false" customHeight="false" outlineLevel="0" collapsed="false">
      <c r="A53" s="1"/>
      <c r="B53" s="41" t="str">
        <f aca="false">IF(C53="","","TX-"&amp;TEXT(YEAR(C53),"0000")&amp;"-"&amp;TEXT(ROW()-7,"0000"))</f>
        <v/>
      </c>
      <c r="C53" s="36"/>
      <c r="D53" s="37"/>
      <c r="E53" s="37"/>
      <c r="F53" s="37"/>
      <c r="G53" s="37"/>
      <c r="H53" s="38"/>
      <c r="I53" s="37"/>
      <c r="J53" s="37"/>
      <c r="K53" s="42" t="b">
        <f aca="false">IF(J53="Pending",TRUE(),FALSE())</f>
        <v>0</v>
      </c>
      <c r="L53" s="37"/>
      <c r="M53" s="1"/>
      <c r="N53" s="1"/>
    </row>
    <row r="54" customFormat="false" ht="15" hidden="false" customHeight="false" outlineLevel="0" collapsed="false">
      <c r="A54" s="1"/>
      <c r="B54" s="35" t="str">
        <f aca="false">IF(C54="","","TX-"&amp;TEXT(YEAR(C54),"0000")&amp;"-"&amp;TEXT(ROW()-7,"0000"))</f>
        <v/>
      </c>
      <c r="C54" s="36"/>
      <c r="D54" s="37"/>
      <c r="E54" s="37"/>
      <c r="F54" s="37"/>
      <c r="G54" s="37"/>
      <c r="H54" s="38"/>
      <c r="I54" s="37"/>
      <c r="J54" s="37"/>
      <c r="K54" s="40" t="b">
        <f aca="false">IF(J54="Pending",TRUE(),FALSE())</f>
        <v>0</v>
      </c>
      <c r="L54" s="37"/>
      <c r="M54" s="1"/>
      <c r="N54" s="1"/>
    </row>
    <row r="55" customFormat="false" ht="15" hidden="false" customHeight="false" outlineLevel="0" collapsed="false">
      <c r="A55" s="1"/>
      <c r="B55" s="41" t="str">
        <f aca="false">IF(C55="","","TX-"&amp;TEXT(YEAR(C55),"0000")&amp;"-"&amp;TEXT(ROW()-7,"0000"))</f>
        <v/>
      </c>
      <c r="C55" s="36"/>
      <c r="D55" s="37"/>
      <c r="E55" s="37"/>
      <c r="F55" s="37"/>
      <c r="G55" s="37"/>
      <c r="H55" s="38"/>
      <c r="I55" s="37"/>
      <c r="J55" s="37"/>
      <c r="K55" s="42" t="b">
        <f aca="false">IF(J55="Pending",TRUE(),FALSE())</f>
        <v>0</v>
      </c>
      <c r="L55" s="37"/>
      <c r="M55" s="1"/>
      <c r="N55" s="1"/>
    </row>
    <row r="56" customFormat="false" ht="15" hidden="false" customHeight="false" outlineLevel="0" collapsed="false">
      <c r="A56" s="1"/>
      <c r="B56" s="35" t="str">
        <f aca="false">IF(C56="","","TX-"&amp;TEXT(YEAR(C56),"0000")&amp;"-"&amp;TEXT(ROW()-7,"0000"))</f>
        <v/>
      </c>
      <c r="C56" s="36"/>
      <c r="D56" s="37"/>
      <c r="E56" s="37"/>
      <c r="F56" s="37"/>
      <c r="G56" s="37"/>
      <c r="H56" s="38"/>
      <c r="I56" s="37"/>
      <c r="J56" s="37"/>
      <c r="K56" s="40" t="b">
        <f aca="false">IF(J56="Pending",TRUE(),FALSE())</f>
        <v>0</v>
      </c>
      <c r="L56" s="37"/>
      <c r="M56" s="1"/>
      <c r="N56" s="1"/>
    </row>
    <row r="57" customFormat="false" ht="15" hidden="false" customHeight="false" outlineLevel="0" collapsed="false">
      <c r="A57" s="1"/>
      <c r="B57" s="41" t="str">
        <f aca="false">IF(C57="","","TX-"&amp;TEXT(YEAR(C57),"0000")&amp;"-"&amp;TEXT(ROW()-7,"0000"))</f>
        <v/>
      </c>
      <c r="C57" s="36"/>
      <c r="D57" s="37"/>
      <c r="E57" s="37"/>
      <c r="F57" s="37"/>
      <c r="G57" s="37"/>
      <c r="H57" s="38"/>
      <c r="I57" s="37"/>
      <c r="J57" s="37"/>
      <c r="K57" s="42" t="b">
        <f aca="false">IF(J57="Pending",TRUE(),FALSE())</f>
        <v>0</v>
      </c>
      <c r="L57" s="37"/>
      <c r="M57" s="1"/>
      <c r="N57" s="1"/>
    </row>
    <row r="58" customFormat="false" ht="15" hidden="false" customHeight="false" outlineLevel="0" collapsed="false">
      <c r="A58" s="1"/>
      <c r="B58" s="35" t="str">
        <f aca="false">IF(C58="","","TX-"&amp;TEXT(YEAR(C58),"0000")&amp;"-"&amp;TEXT(ROW()-7,"0000"))</f>
        <v/>
      </c>
      <c r="C58" s="36"/>
      <c r="D58" s="37"/>
      <c r="E58" s="37"/>
      <c r="F58" s="37"/>
      <c r="G58" s="37"/>
      <c r="H58" s="38"/>
      <c r="I58" s="37"/>
      <c r="J58" s="37"/>
      <c r="K58" s="40" t="b">
        <f aca="false">IF(J58="Pending",TRUE(),FALSE())</f>
        <v>0</v>
      </c>
      <c r="L58" s="37"/>
      <c r="M58" s="1"/>
      <c r="N58" s="1"/>
    </row>
    <row r="59" customFormat="false" ht="15" hidden="false" customHeight="false" outlineLevel="0" collapsed="false">
      <c r="A59" s="1"/>
      <c r="B59" s="41" t="str">
        <f aca="false">IF(C59="","","TX-"&amp;TEXT(YEAR(C59),"0000")&amp;"-"&amp;TEXT(ROW()-7,"0000"))</f>
        <v/>
      </c>
      <c r="C59" s="36"/>
      <c r="D59" s="37"/>
      <c r="E59" s="37"/>
      <c r="F59" s="37"/>
      <c r="G59" s="37"/>
      <c r="H59" s="38"/>
      <c r="I59" s="37"/>
      <c r="J59" s="37"/>
      <c r="K59" s="42" t="b">
        <f aca="false">IF(J59="Pending",TRUE(),FALSE())</f>
        <v>0</v>
      </c>
      <c r="L59" s="37"/>
      <c r="M59" s="1"/>
      <c r="N59" s="1"/>
    </row>
    <row r="60" customFormat="false" ht="15" hidden="false" customHeight="false" outlineLevel="0" collapsed="false">
      <c r="A60" s="1"/>
      <c r="B60" s="35" t="str">
        <f aca="false">IF(C60="","","TX-"&amp;TEXT(YEAR(C60),"0000")&amp;"-"&amp;TEXT(ROW()-7,"0000"))</f>
        <v/>
      </c>
      <c r="C60" s="36"/>
      <c r="D60" s="37"/>
      <c r="E60" s="37"/>
      <c r="F60" s="37"/>
      <c r="G60" s="37"/>
      <c r="H60" s="38"/>
      <c r="I60" s="37"/>
      <c r="J60" s="37"/>
      <c r="K60" s="40" t="b">
        <f aca="false">IF(J60="Pending",TRUE(),FALSE())</f>
        <v>0</v>
      </c>
      <c r="L60" s="37"/>
      <c r="M60" s="1"/>
      <c r="N60" s="1"/>
    </row>
    <row r="61" customFormat="false" ht="15" hidden="false" customHeight="false" outlineLevel="0" collapsed="false">
      <c r="A61" s="1"/>
      <c r="B61" s="41" t="str">
        <f aca="false">IF(C61="","","TX-"&amp;TEXT(YEAR(C61),"0000")&amp;"-"&amp;TEXT(ROW()-7,"0000"))</f>
        <v/>
      </c>
      <c r="C61" s="36"/>
      <c r="D61" s="37"/>
      <c r="E61" s="37"/>
      <c r="F61" s="37"/>
      <c r="G61" s="37"/>
      <c r="H61" s="38"/>
      <c r="I61" s="37"/>
      <c r="J61" s="37"/>
      <c r="K61" s="42" t="b">
        <f aca="false">IF(J61="Pending",TRUE(),FALSE())</f>
        <v>0</v>
      </c>
      <c r="L61" s="37"/>
      <c r="M61" s="1"/>
      <c r="N61" s="1"/>
    </row>
    <row r="62" customFormat="false" ht="15" hidden="false" customHeight="false" outlineLevel="0" collapsed="false">
      <c r="A62" s="1"/>
      <c r="B62" s="35" t="str">
        <f aca="false">IF(C62="","","TX-"&amp;TEXT(YEAR(C62),"0000")&amp;"-"&amp;TEXT(ROW()-7,"0000"))</f>
        <v/>
      </c>
      <c r="C62" s="36"/>
      <c r="D62" s="37"/>
      <c r="E62" s="37"/>
      <c r="F62" s="37"/>
      <c r="G62" s="37"/>
      <c r="H62" s="38"/>
      <c r="I62" s="37"/>
      <c r="J62" s="37"/>
      <c r="K62" s="40" t="b">
        <f aca="false">IF(J62="Pending",TRUE(),FALSE())</f>
        <v>0</v>
      </c>
      <c r="L62" s="37"/>
      <c r="M62" s="1"/>
      <c r="N62" s="1"/>
    </row>
    <row r="63" customFormat="false" ht="15" hidden="false" customHeight="false" outlineLevel="0" collapsed="false">
      <c r="A63" s="1"/>
      <c r="B63" s="41" t="str">
        <f aca="false">IF(C63="","","TX-"&amp;TEXT(YEAR(C63),"0000")&amp;"-"&amp;TEXT(ROW()-7,"0000"))</f>
        <v/>
      </c>
      <c r="C63" s="36"/>
      <c r="D63" s="37"/>
      <c r="E63" s="37"/>
      <c r="F63" s="37"/>
      <c r="G63" s="37"/>
      <c r="H63" s="38"/>
      <c r="I63" s="37"/>
      <c r="J63" s="37"/>
      <c r="K63" s="42" t="b">
        <f aca="false">IF(J63="Pending",TRUE(),FALSE())</f>
        <v>0</v>
      </c>
      <c r="L63" s="37"/>
      <c r="M63" s="1"/>
      <c r="N63" s="1"/>
    </row>
    <row r="64" customFormat="false" ht="15" hidden="false" customHeight="false" outlineLevel="0" collapsed="false">
      <c r="A64" s="1"/>
      <c r="B64" s="35" t="str">
        <f aca="false">IF(C64="","","TX-"&amp;TEXT(YEAR(C64),"0000")&amp;"-"&amp;TEXT(ROW()-7,"0000"))</f>
        <v/>
      </c>
      <c r="C64" s="36"/>
      <c r="D64" s="37"/>
      <c r="E64" s="37"/>
      <c r="F64" s="37"/>
      <c r="G64" s="37"/>
      <c r="H64" s="38"/>
      <c r="I64" s="37"/>
      <c r="J64" s="37"/>
      <c r="K64" s="40" t="b">
        <f aca="false">IF(J64="Pending",TRUE(),FALSE())</f>
        <v>0</v>
      </c>
      <c r="L64" s="37"/>
      <c r="M64" s="1"/>
      <c r="N64" s="1"/>
    </row>
    <row r="65" customFormat="false" ht="15" hidden="false" customHeight="false" outlineLevel="0" collapsed="false">
      <c r="A65" s="1"/>
      <c r="B65" s="41" t="str">
        <f aca="false">IF(C65="","","TX-"&amp;TEXT(YEAR(C65),"0000")&amp;"-"&amp;TEXT(ROW()-7,"0000"))</f>
        <v/>
      </c>
      <c r="C65" s="36"/>
      <c r="D65" s="37"/>
      <c r="E65" s="37"/>
      <c r="F65" s="37"/>
      <c r="G65" s="37"/>
      <c r="H65" s="38"/>
      <c r="I65" s="37"/>
      <c r="J65" s="37"/>
      <c r="K65" s="42" t="b">
        <f aca="false">IF(J65="Pending",TRUE(),FALSE())</f>
        <v>0</v>
      </c>
      <c r="L65" s="37"/>
      <c r="M65" s="1"/>
      <c r="N65" s="1"/>
    </row>
    <row r="66" customFormat="false" ht="15" hidden="false" customHeight="false" outlineLevel="0" collapsed="false">
      <c r="A66" s="1"/>
      <c r="B66" s="35" t="str">
        <f aca="false">IF(C66="","","TX-"&amp;TEXT(YEAR(C66),"0000")&amp;"-"&amp;TEXT(ROW()-7,"0000"))</f>
        <v/>
      </c>
      <c r="C66" s="36"/>
      <c r="D66" s="37"/>
      <c r="E66" s="37"/>
      <c r="F66" s="37"/>
      <c r="G66" s="37"/>
      <c r="H66" s="38"/>
      <c r="I66" s="37"/>
      <c r="J66" s="37"/>
      <c r="K66" s="40" t="b">
        <f aca="false">IF(J66="Pending",TRUE(),FALSE())</f>
        <v>0</v>
      </c>
      <c r="L66" s="37"/>
      <c r="M66" s="1"/>
      <c r="N66" s="1"/>
    </row>
    <row r="67" customFormat="false" ht="15" hidden="false" customHeight="false" outlineLevel="0" collapsed="false">
      <c r="A67" s="1"/>
      <c r="B67" s="41" t="str">
        <f aca="false">IF(C67="","","TX-"&amp;TEXT(YEAR(C67),"0000")&amp;"-"&amp;TEXT(ROW()-7,"0000"))</f>
        <v/>
      </c>
      <c r="C67" s="36"/>
      <c r="D67" s="37"/>
      <c r="E67" s="37"/>
      <c r="F67" s="37"/>
      <c r="G67" s="37"/>
      <c r="H67" s="38"/>
      <c r="I67" s="37"/>
      <c r="J67" s="37"/>
      <c r="K67" s="42" t="b">
        <f aca="false">IF(J67="Pending",TRUE(),FALSE())</f>
        <v>0</v>
      </c>
      <c r="L67" s="37"/>
      <c r="M67" s="1"/>
      <c r="N67" s="1"/>
    </row>
    <row r="68" customFormat="false" ht="15" hidden="false" customHeight="false" outlineLevel="0" collapsed="false">
      <c r="A68" s="1"/>
      <c r="B68" s="35" t="str">
        <f aca="false">IF(C68="","","TX-"&amp;TEXT(YEAR(C68),"0000")&amp;"-"&amp;TEXT(ROW()-7,"0000"))</f>
        <v/>
      </c>
      <c r="C68" s="36"/>
      <c r="D68" s="37"/>
      <c r="E68" s="37"/>
      <c r="F68" s="37"/>
      <c r="G68" s="37"/>
      <c r="H68" s="38"/>
      <c r="I68" s="37"/>
      <c r="J68" s="37"/>
      <c r="K68" s="40" t="b">
        <f aca="false">IF(J68="Pending",TRUE(),FALSE())</f>
        <v>0</v>
      </c>
      <c r="L68" s="37"/>
      <c r="M68" s="1"/>
      <c r="N68" s="1"/>
    </row>
    <row r="69" customFormat="false" ht="15" hidden="false" customHeight="false" outlineLevel="0" collapsed="false">
      <c r="A69" s="1"/>
      <c r="B69" s="41" t="str">
        <f aca="false">IF(C69="","","TX-"&amp;TEXT(YEAR(C69),"0000")&amp;"-"&amp;TEXT(ROW()-7,"0000"))</f>
        <v/>
      </c>
      <c r="C69" s="36"/>
      <c r="D69" s="37"/>
      <c r="E69" s="37"/>
      <c r="F69" s="37"/>
      <c r="G69" s="37"/>
      <c r="H69" s="38"/>
      <c r="I69" s="37"/>
      <c r="J69" s="37"/>
      <c r="K69" s="42" t="b">
        <f aca="false">IF(J69="Pending",TRUE(),FALSE())</f>
        <v>0</v>
      </c>
      <c r="L69" s="37"/>
      <c r="M69" s="1"/>
      <c r="N69" s="1"/>
    </row>
    <row r="70" customFormat="false" ht="15" hidden="false" customHeight="false" outlineLevel="0" collapsed="false">
      <c r="A70" s="1"/>
      <c r="B70" s="35" t="str">
        <f aca="false">IF(C70="","","TX-"&amp;TEXT(YEAR(C70),"0000")&amp;"-"&amp;TEXT(ROW()-7,"0000"))</f>
        <v/>
      </c>
      <c r="C70" s="36"/>
      <c r="D70" s="37"/>
      <c r="E70" s="37"/>
      <c r="F70" s="37"/>
      <c r="G70" s="37"/>
      <c r="H70" s="38"/>
      <c r="I70" s="37"/>
      <c r="J70" s="37"/>
      <c r="K70" s="40" t="b">
        <f aca="false">IF(J70="Pending",TRUE(),FALSE())</f>
        <v>0</v>
      </c>
      <c r="L70" s="37"/>
      <c r="M70" s="1"/>
      <c r="N70" s="1"/>
    </row>
    <row r="71" customFormat="false" ht="15" hidden="false" customHeight="false" outlineLevel="0" collapsed="false">
      <c r="A71" s="1"/>
      <c r="B71" s="41" t="str">
        <f aca="false">IF(C71="","","TX-"&amp;TEXT(YEAR(C71),"0000")&amp;"-"&amp;TEXT(ROW()-7,"0000"))</f>
        <v/>
      </c>
      <c r="C71" s="36"/>
      <c r="D71" s="37"/>
      <c r="E71" s="37"/>
      <c r="F71" s="37"/>
      <c r="G71" s="37"/>
      <c r="H71" s="38"/>
      <c r="I71" s="37"/>
      <c r="J71" s="37"/>
      <c r="K71" s="42" t="b">
        <f aca="false">IF(J71="Pending",TRUE(),FALSE())</f>
        <v>0</v>
      </c>
      <c r="L71" s="37"/>
      <c r="M71" s="1"/>
      <c r="N71" s="1"/>
    </row>
    <row r="72" customFormat="false" ht="15" hidden="false" customHeight="false" outlineLevel="0" collapsed="false">
      <c r="A72" s="1"/>
      <c r="B72" s="35" t="str">
        <f aca="false">IF(C72="","","TX-"&amp;TEXT(YEAR(C72),"0000")&amp;"-"&amp;TEXT(ROW()-7,"0000"))</f>
        <v/>
      </c>
      <c r="C72" s="36"/>
      <c r="D72" s="37"/>
      <c r="E72" s="37"/>
      <c r="F72" s="37"/>
      <c r="G72" s="37"/>
      <c r="H72" s="38"/>
      <c r="I72" s="37"/>
      <c r="J72" s="37"/>
      <c r="K72" s="40" t="b">
        <f aca="false">IF(J72="Pending",TRUE(),FALSE())</f>
        <v>0</v>
      </c>
      <c r="L72" s="37"/>
      <c r="M72" s="1"/>
      <c r="N72" s="1"/>
    </row>
    <row r="73" customFormat="false" ht="15" hidden="false" customHeight="false" outlineLevel="0" collapsed="false">
      <c r="A73" s="1"/>
      <c r="B73" s="41" t="str">
        <f aca="false">IF(C73="","","TX-"&amp;TEXT(YEAR(C73),"0000")&amp;"-"&amp;TEXT(ROW()-7,"0000"))</f>
        <v/>
      </c>
      <c r="C73" s="36"/>
      <c r="D73" s="37"/>
      <c r="E73" s="37"/>
      <c r="F73" s="37"/>
      <c r="G73" s="37"/>
      <c r="H73" s="38"/>
      <c r="I73" s="37"/>
      <c r="J73" s="37"/>
      <c r="K73" s="42" t="b">
        <f aca="false">IF(J73="Pending",TRUE(),FALSE())</f>
        <v>0</v>
      </c>
      <c r="L73" s="37"/>
      <c r="M73" s="1"/>
      <c r="N73" s="1"/>
    </row>
    <row r="74" customFormat="false" ht="15" hidden="false" customHeight="false" outlineLevel="0" collapsed="false">
      <c r="A74" s="1"/>
      <c r="B74" s="35" t="str">
        <f aca="false">IF(C74="","","TX-"&amp;TEXT(YEAR(C74),"0000")&amp;"-"&amp;TEXT(ROW()-7,"0000"))</f>
        <v/>
      </c>
      <c r="C74" s="36"/>
      <c r="D74" s="37"/>
      <c r="E74" s="37"/>
      <c r="F74" s="37"/>
      <c r="G74" s="37"/>
      <c r="H74" s="38"/>
      <c r="I74" s="37"/>
      <c r="J74" s="37"/>
      <c r="K74" s="40" t="b">
        <f aca="false">IF(J74="Pending",TRUE(),FALSE())</f>
        <v>0</v>
      </c>
      <c r="L74" s="37"/>
      <c r="M74" s="1"/>
      <c r="N74" s="1"/>
    </row>
    <row r="75" customFormat="false" ht="15" hidden="false" customHeight="false" outlineLevel="0" collapsed="false">
      <c r="A75" s="1"/>
      <c r="B75" s="41" t="str">
        <f aca="false">IF(C75="","","TX-"&amp;TEXT(YEAR(C75),"0000")&amp;"-"&amp;TEXT(ROW()-7,"0000"))</f>
        <v/>
      </c>
      <c r="C75" s="36"/>
      <c r="D75" s="37"/>
      <c r="E75" s="37"/>
      <c r="F75" s="37"/>
      <c r="G75" s="37"/>
      <c r="H75" s="38"/>
      <c r="I75" s="37"/>
      <c r="J75" s="37"/>
      <c r="K75" s="42" t="b">
        <f aca="false">IF(J75="Pending",TRUE(),FALSE())</f>
        <v>0</v>
      </c>
      <c r="L75" s="37"/>
      <c r="M75" s="1"/>
      <c r="N75" s="1"/>
    </row>
    <row r="76" customFormat="false" ht="15" hidden="false" customHeight="false" outlineLevel="0" collapsed="false">
      <c r="A76" s="1"/>
      <c r="B76" s="35" t="str">
        <f aca="false">IF(C76="","","TX-"&amp;TEXT(YEAR(C76),"0000")&amp;"-"&amp;TEXT(ROW()-7,"0000"))</f>
        <v/>
      </c>
      <c r="C76" s="36"/>
      <c r="D76" s="37"/>
      <c r="E76" s="37"/>
      <c r="F76" s="37"/>
      <c r="G76" s="37"/>
      <c r="H76" s="38"/>
      <c r="I76" s="37"/>
      <c r="J76" s="37"/>
      <c r="K76" s="40" t="b">
        <f aca="false">IF(J76="Pending",TRUE(),FALSE())</f>
        <v>0</v>
      </c>
      <c r="L76" s="37"/>
      <c r="M76" s="1"/>
      <c r="N76" s="1"/>
    </row>
    <row r="77" customFormat="false" ht="15" hidden="false" customHeight="false" outlineLevel="0" collapsed="false">
      <c r="A77" s="1"/>
      <c r="B77" s="41" t="str">
        <f aca="false">IF(C77="","","TX-"&amp;TEXT(YEAR(C77),"0000")&amp;"-"&amp;TEXT(ROW()-7,"0000"))</f>
        <v/>
      </c>
      <c r="C77" s="36"/>
      <c r="D77" s="37"/>
      <c r="E77" s="37"/>
      <c r="F77" s="37"/>
      <c r="G77" s="37"/>
      <c r="H77" s="38"/>
      <c r="I77" s="37"/>
      <c r="J77" s="37"/>
      <c r="K77" s="42" t="b">
        <f aca="false">IF(J77="Pending",TRUE(),FALSE())</f>
        <v>0</v>
      </c>
      <c r="L77" s="37"/>
      <c r="M77" s="1"/>
      <c r="N77" s="1"/>
    </row>
    <row r="78" customFormat="false" ht="15" hidden="false" customHeight="false" outlineLevel="0" collapsed="false">
      <c r="A78" s="1"/>
      <c r="B78" s="35" t="str">
        <f aca="false">IF(C78="","","TX-"&amp;TEXT(YEAR(C78),"0000")&amp;"-"&amp;TEXT(ROW()-7,"0000"))</f>
        <v/>
      </c>
      <c r="C78" s="36"/>
      <c r="D78" s="37"/>
      <c r="E78" s="37"/>
      <c r="F78" s="37"/>
      <c r="G78" s="37"/>
      <c r="H78" s="38"/>
      <c r="I78" s="37"/>
      <c r="J78" s="37"/>
      <c r="K78" s="40" t="b">
        <f aca="false">IF(J78="Pending",TRUE(),FALSE())</f>
        <v>0</v>
      </c>
      <c r="L78" s="37"/>
      <c r="M78" s="1"/>
      <c r="N78" s="1"/>
    </row>
    <row r="79" customFormat="false" ht="15" hidden="false" customHeight="false" outlineLevel="0" collapsed="false">
      <c r="A79" s="1"/>
      <c r="B79" s="41" t="str">
        <f aca="false">IF(C79="","","TX-"&amp;TEXT(YEAR(C79),"0000")&amp;"-"&amp;TEXT(ROW()-7,"0000"))</f>
        <v/>
      </c>
      <c r="C79" s="36"/>
      <c r="D79" s="37"/>
      <c r="E79" s="37"/>
      <c r="F79" s="37"/>
      <c r="G79" s="37"/>
      <c r="H79" s="38"/>
      <c r="I79" s="37"/>
      <c r="J79" s="37"/>
      <c r="K79" s="42" t="b">
        <f aca="false">IF(J79="Pending",TRUE(),FALSE())</f>
        <v>0</v>
      </c>
      <c r="L79" s="37"/>
      <c r="M79" s="1"/>
      <c r="N79" s="1"/>
    </row>
    <row r="80" customFormat="false" ht="15" hidden="false" customHeight="false" outlineLevel="0" collapsed="false">
      <c r="A80" s="1"/>
      <c r="B80" s="35" t="str">
        <f aca="false">IF(C80="","","TX-"&amp;TEXT(YEAR(C80),"0000")&amp;"-"&amp;TEXT(ROW()-7,"0000"))</f>
        <v/>
      </c>
      <c r="C80" s="36"/>
      <c r="D80" s="37"/>
      <c r="E80" s="37"/>
      <c r="F80" s="37"/>
      <c r="G80" s="37"/>
      <c r="H80" s="38"/>
      <c r="I80" s="37"/>
      <c r="J80" s="37"/>
      <c r="K80" s="40" t="b">
        <f aca="false">IF(J80="Pending",TRUE(),FALSE())</f>
        <v>0</v>
      </c>
      <c r="L80" s="37"/>
      <c r="M80" s="1"/>
      <c r="N80" s="1"/>
    </row>
    <row r="81" customFormat="false" ht="15" hidden="false" customHeight="false" outlineLevel="0" collapsed="false">
      <c r="A81" s="1"/>
      <c r="B81" s="41" t="str">
        <f aca="false">IF(C81="","","TX-"&amp;TEXT(YEAR(C81),"0000")&amp;"-"&amp;TEXT(ROW()-7,"0000"))</f>
        <v/>
      </c>
      <c r="C81" s="36"/>
      <c r="D81" s="37"/>
      <c r="E81" s="37"/>
      <c r="F81" s="37"/>
      <c r="G81" s="37"/>
      <c r="H81" s="38"/>
      <c r="I81" s="37"/>
      <c r="J81" s="37"/>
      <c r="K81" s="42" t="b">
        <f aca="false">IF(J81="Pending",TRUE(),FALSE())</f>
        <v>0</v>
      </c>
      <c r="L81" s="37"/>
      <c r="M81" s="1"/>
      <c r="N81" s="1"/>
    </row>
    <row r="82" customFormat="false" ht="15" hidden="false" customHeight="false" outlineLevel="0" collapsed="false">
      <c r="A82" s="1"/>
      <c r="B82" s="35" t="str">
        <f aca="false">IF(C82="","","TX-"&amp;TEXT(YEAR(C82),"0000")&amp;"-"&amp;TEXT(ROW()-7,"0000"))</f>
        <v/>
      </c>
      <c r="C82" s="36"/>
      <c r="D82" s="37"/>
      <c r="E82" s="37"/>
      <c r="F82" s="37"/>
      <c r="G82" s="37"/>
      <c r="H82" s="38"/>
      <c r="I82" s="37"/>
      <c r="J82" s="37"/>
      <c r="K82" s="40" t="b">
        <f aca="false">IF(J82="Pending",TRUE(),FALSE())</f>
        <v>0</v>
      </c>
      <c r="L82" s="37"/>
      <c r="M82" s="1"/>
      <c r="N82" s="1"/>
    </row>
    <row r="83" customFormat="false" ht="15" hidden="false" customHeight="false" outlineLevel="0" collapsed="false">
      <c r="A83" s="1"/>
      <c r="B83" s="41" t="str">
        <f aca="false">IF(C83="","","TX-"&amp;TEXT(YEAR(C83),"0000")&amp;"-"&amp;TEXT(ROW()-7,"0000"))</f>
        <v/>
      </c>
      <c r="C83" s="36"/>
      <c r="D83" s="37"/>
      <c r="E83" s="37"/>
      <c r="F83" s="37"/>
      <c r="G83" s="37"/>
      <c r="H83" s="38"/>
      <c r="I83" s="37"/>
      <c r="J83" s="37"/>
      <c r="K83" s="42" t="b">
        <f aca="false">IF(J83="Pending",TRUE(),FALSE())</f>
        <v>0</v>
      </c>
      <c r="L83" s="37"/>
      <c r="M83" s="1"/>
      <c r="N83" s="1"/>
    </row>
    <row r="84" customFormat="false" ht="15" hidden="false" customHeight="false" outlineLevel="0" collapsed="false">
      <c r="A84" s="1"/>
      <c r="B84" s="35" t="str">
        <f aca="false">IF(C84="","","TX-"&amp;TEXT(YEAR(C84),"0000")&amp;"-"&amp;TEXT(ROW()-7,"0000"))</f>
        <v/>
      </c>
      <c r="C84" s="36"/>
      <c r="D84" s="37"/>
      <c r="E84" s="37"/>
      <c r="F84" s="37"/>
      <c r="G84" s="37"/>
      <c r="H84" s="38"/>
      <c r="I84" s="37"/>
      <c r="J84" s="37"/>
      <c r="K84" s="40" t="b">
        <f aca="false">IF(J84="Pending",TRUE(),FALSE())</f>
        <v>0</v>
      </c>
      <c r="L84" s="37"/>
      <c r="M84" s="1"/>
      <c r="N84" s="1"/>
    </row>
    <row r="85" customFormat="false" ht="15" hidden="false" customHeight="false" outlineLevel="0" collapsed="false">
      <c r="A85" s="1"/>
      <c r="B85" s="41" t="str">
        <f aca="false">IF(C85="","","TX-"&amp;TEXT(YEAR(C85),"0000")&amp;"-"&amp;TEXT(ROW()-7,"0000"))</f>
        <v/>
      </c>
      <c r="C85" s="36"/>
      <c r="D85" s="37"/>
      <c r="E85" s="37"/>
      <c r="F85" s="37"/>
      <c r="G85" s="37"/>
      <c r="H85" s="38"/>
      <c r="I85" s="37"/>
      <c r="J85" s="37"/>
      <c r="K85" s="42" t="b">
        <f aca="false">IF(J85="Pending",TRUE(),FALSE())</f>
        <v>0</v>
      </c>
      <c r="L85" s="37"/>
      <c r="M85" s="1"/>
      <c r="N85" s="1"/>
    </row>
    <row r="86" customFormat="false" ht="15" hidden="false" customHeight="false" outlineLevel="0" collapsed="false">
      <c r="A86" s="1"/>
      <c r="B86" s="35" t="str">
        <f aca="false">IF(C86="","","TX-"&amp;TEXT(YEAR(C86),"0000")&amp;"-"&amp;TEXT(ROW()-7,"0000"))</f>
        <v/>
      </c>
      <c r="C86" s="36"/>
      <c r="D86" s="37"/>
      <c r="E86" s="37"/>
      <c r="F86" s="37"/>
      <c r="G86" s="37"/>
      <c r="H86" s="38"/>
      <c r="I86" s="37"/>
      <c r="J86" s="37"/>
      <c r="K86" s="40" t="b">
        <f aca="false">IF(J86="Pending",TRUE(),FALSE())</f>
        <v>0</v>
      </c>
      <c r="L86" s="37"/>
      <c r="M86" s="1"/>
      <c r="N86" s="1"/>
    </row>
    <row r="87" customFormat="false" ht="15" hidden="false" customHeight="false" outlineLevel="0" collapsed="false">
      <c r="A87" s="1"/>
      <c r="B87" s="41" t="str">
        <f aca="false">IF(C87="","","TX-"&amp;TEXT(YEAR(C87),"0000")&amp;"-"&amp;TEXT(ROW()-7,"0000"))</f>
        <v/>
      </c>
      <c r="C87" s="36"/>
      <c r="D87" s="37"/>
      <c r="E87" s="37"/>
      <c r="F87" s="37"/>
      <c r="G87" s="37"/>
      <c r="H87" s="38"/>
      <c r="I87" s="37"/>
      <c r="J87" s="37"/>
      <c r="K87" s="42" t="b">
        <f aca="false">IF(J87="Pending",TRUE(),FALSE())</f>
        <v>0</v>
      </c>
      <c r="L87" s="37"/>
      <c r="M87" s="1"/>
      <c r="N87" s="1"/>
    </row>
    <row r="88" customFormat="false" ht="15" hidden="false" customHeight="false" outlineLevel="0" collapsed="false">
      <c r="A88" s="1"/>
      <c r="B88" s="35" t="str">
        <f aca="false">IF(C88="","","TX-"&amp;TEXT(YEAR(C88),"0000")&amp;"-"&amp;TEXT(ROW()-7,"0000"))</f>
        <v/>
      </c>
      <c r="C88" s="36"/>
      <c r="D88" s="37"/>
      <c r="E88" s="37"/>
      <c r="F88" s="37"/>
      <c r="G88" s="37"/>
      <c r="H88" s="38"/>
      <c r="I88" s="37"/>
      <c r="J88" s="37"/>
      <c r="K88" s="40" t="b">
        <f aca="false">IF(J88="Pending",TRUE(),FALSE())</f>
        <v>0</v>
      </c>
      <c r="L88" s="37"/>
      <c r="M88" s="1"/>
      <c r="N88" s="1"/>
    </row>
    <row r="89" customFormat="false" ht="15" hidden="false" customHeight="false" outlineLevel="0" collapsed="false">
      <c r="A89" s="1"/>
      <c r="B89" s="41" t="str">
        <f aca="false">IF(C89="","","TX-"&amp;TEXT(YEAR(C89),"0000")&amp;"-"&amp;TEXT(ROW()-7,"0000"))</f>
        <v/>
      </c>
      <c r="C89" s="36"/>
      <c r="D89" s="37"/>
      <c r="E89" s="37"/>
      <c r="F89" s="37"/>
      <c r="G89" s="37"/>
      <c r="H89" s="38"/>
      <c r="I89" s="37"/>
      <c r="J89" s="37"/>
      <c r="K89" s="42" t="b">
        <f aca="false">IF(J89="Pending",TRUE(),FALSE())</f>
        <v>0</v>
      </c>
      <c r="L89" s="37"/>
      <c r="M89" s="1"/>
      <c r="N89" s="1"/>
    </row>
    <row r="90" customFormat="false" ht="15" hidden="false" customHeight="false" outlineLevel="0" collapsed="false">
      <c r="A90" s="1"/>
      <c r="B90" s="35" t="str">
        <f aca="false">IF(C90="","","TX-"&amp;TEXT(YEAR(C90),"0000")&amp;"-"&amp;TEXT(ROW()-7,"0000"))</f>
        <v/>
      </c>
      <c r="C90" s="36"/>
      <c r="D90" s="37"/>
      <c r="E90" s="37"/>
      <c r="F90" s="37"/>
      <c r="G90" s="37"/>
      <c r="H90" s="38"/>
      <c r="I90" s="37"/>
      <c r="J90" s="37"/>
      <c r="K90" s="40" t="b">
        <f aca="false">IF(J90="Pending",TRUE(),FALSE())</f>
        <v>0</v>
      </c>
      <c r="L90" s="37"/>
      <c r="M90" s="1"/>
      <c r="N90" s="1"/>
    </row>
    <row r="91" customFormat="false" ht="15" hidden="false" customHeight="false" outlineLevel="0" collapsed="false">
      <c r="A91" s="1"/>
      <c r="B91" s="41" t="str">
        <f aca="false">IF(C91="","","TX-"&amp;TEXT(YEAR(C91),"0000")&amp;"-"&amp;TEXT(ROW()-7,"0000"))</f>
        <v/>
      </c>
      <c r="C91" s="36"/>
      <c r="D91" s="37"/>
      <c r="E91" s="37"/>
      <c r="F91" s="37"/>
      <c r="G91" s="37"/>
      <c r="H91" s="38"/>
      <c r="I91" s="37"/>
      <c r="J91" s="37"/>
      <c r="K91" s="42" t="b">
        <f aca="false">IF(J91="Pending",TRUE(),FALSE())</f>
        <v>0</v>
      </c>
      <c r="L91" s="37"/>
      <c r="M91" s="1"/>
      <c r="N91" s="1"/>
    </row>
    <row r="92" customFormat="false" ht="15" hidden="false" customHeight="false" outlineLevel="0" collapsed="false">
      <c r="A92" s="1"/>
      <c r="B92" s="35" t="str">
        <f aca="false">IF(C92="","","TX-"&amp;TEXT(YEAR(C92),"0000")&amp;"-"&amp;TEXT(ROW()-7,"0000"))</f>
        <v/>
      </c>
      <c r="C92" s="36"/>
      <c r="D92" s="37"/>
      <c r="E92" s="37"/>
      <c r="F92" s="37"/>
      <c r="G92" s="37"/>
      <c r="H92" s="38"/>
      <c r="I92" s="37"/>
      <c r="J92" s="37"/>
      <c r="K92" s="40" t="b">
        <f aca="false">IF(J92="Pending",TRUE(),FALSE())</f>
        <v>0</v>
      </c>
      <c r="L92" s="37"/>
      <c r="M92" s="1"/>
      <c r="N92" s="1"/>
    </row>
    <row r="93" customFormat="false" ht="15" hidden="false" customHeight="false" outlineLevel="0" collapsed="false">
      <c r="A93" s="1"/>
      <c r="B93" s="41" t="str">
        <f aca="false">IF(C93="","","TX-"&amp;TEXT(YEAR(C93),"0000")&amp;"-"&amp;TEXT(ROW()-7,"0000"))</f>
        <v/>
      </c>
      <c r="C93" s="36"/>
      <c r="D93" s="37"/>
      <c r="E93" s="37"/>
      <c r="F93" s="37"/>
      <c r="G93" s="37"/>
      <c r="H93" s="38"/>
      <c r="I93" s="37"/>
      <c r="J93" s="37"/>
      <c r="K93" s="42" t="b">
        <f aca="false">IF(J93="Pending",TRUE(),FALSE())</f>
        <v>0</v>
      </c>
      <c r="L93" s="37"/>
      <c r="M93" s="1"/>
      <c r="N93" s="1"/>
    </row>
    <row r="94" customFormat="false" ht="15" hidden="false" customHeight="false" outlineLevel="0" collapsed="false">
      <c r="A94" s="1"/>
      <c r="B94" s="35" t="str">
        <f aca="false">IF(C94="","","TX-"&amp;TEXT(YEAR(C94),"0000")&amp;"-"&amp;TEXT(ROW()-7,"0000"))</f>
        <v/>
      </c>
      <c r="C94" s="36"/>
      <c r="D94" s="37"/>
      <c r="E94" s="37"/>
      <c r="F94" s="37"/>
      <c r="G94" s="37"/>
      <c r="H94" s="38"/>
      <c r="I94" s="37"/>
      <c r="J94" s="37"/>
      <c r="K94" s="40" t="b">
        <f aca="false">IF(J94="Pending",TRUE(),FALSE())</f>
        <v>0</v>
      </c>
      <c r="L94" s="37"/>
      <c r="M94" s="1"/>
      <c r="N94" s="1"/>
    </row>
    <row r="95" customFormat="false" ht="15" hidden="false" customHeight="false" outlineLevel="0" collapsed="false">
      <c r="A95" s="1"/>
      <c r="B95" s="41" t="str">
        <f aca="false">IF(C95="","","TX-"&amp;TEXT(YEAR(C95),"0000")&amp;"-"&amp;TEXT(ROW()-7,"0000"))</f>
        <v/>
      </c>
      <c r="C95" s="36"/>
      <c r="D95" s="37"/>
      <c r="E95" s="37"/>
      <c r="F95" s="37"/>
      <c r="G95" s="37"/>
      <c r="H95" s="38"/>
      <c r="I95" s="37"/>
      <c r="J95" s="37"/>
      <c r="K95" s="42" t="b">
        <f aca="false">IF(J95="Pending",TRUE(),FALSE())</f>
        <v>0</v>
      </c>
      <c r="L95" s="37"/>
      <c r="M95" s="1"/>
      <c r="N95" s="1"/>
    </row>
    <row r="96" customFormat="false" ht="15" hidden="false" customHeight="false" outlineLevel="0" collapsed="false">
      <c r="A96" s="1"/>
      <c r="B96" s="35" t="str">
        <f aca="false">IF(C96="","","TX-"&amp;TEXT(YEAR(C96),"0000")&amp;"-"&amp;TEXT(ROW()-7,"0000"))</f>
        <v/>
      </c>
      <c r="C96" s="36"/>
      <c r="D96" s="37"/>
      <c r="E96" s="37"/>
      <c r="F96" s="37"/>
      <c r="G96" s="37"/>
      <c r="H96" s="38"/>
      <c r="I96" s="37"/>
      <c r="J96" s="37"/>
      <c r="K96" s="40" t="b">
        <f aca="false">IF(J96="Pending",TRUE(),FALSE())</f>
        <v>0</v>
      </c>
      <c r="L96" s="37"/>
      <c r="M96" s="1"/>
      <c r="N96" s="1"/>
    </row>
    <row r="97" customFormat="false" ht="15" hidden="false" customHeight="false" outlineLevel="0" collapsed="false">
      <c r="A97" s="1"/>
      <c r="B97" s="41" t="str">
        <f aca="false">IF(C97="","","TX-"&amp;TEXT(YEAR(C97),"0000")&amp;"-"&amp;TEXT(ROW()-7,"0000"))</f>
        <v/>
      </c>
      <c r="C97" s="36"/>
      <c r="D97" s="37"/>
      <c r="E97" s="37"/>
      <c r="F97" s="37"/>
      <c r="G97" s="37"/>
      <c r="H97" s="38"/>
      <c r="I97" s="37"/>
      <c r="J97" s="37"/>
      <c r="K97" s="42" t="b">
        <f aca="false">IF(J97="Pending",TRUE(),FALSE())</f>
        <v>0</v>
      </c>
      <c r="L97" s="37"/>
      <c r="M97" s="1"/>
      <c r="N97" s="1"/>
    </row>
    <row r="98" customFormat="false" ht="15" hidden="false" customHeight="false" outlineLevel="0" collapsed="false">
      <c r="A98" s="1"/>
      <c r="B98" s="35" t="str">
        <f aca="false">IF(C98="","","TX-"&amp;TEXT(YEAR(C98),"0000")&amp;"-"&amp;TEXT(ROW()-7,"0000"))</f>
        <v/>
      </c>
      <c r="C98" s="36"/>
      <c r="D98" s="37"/>
      <c r="E98" s="37"/>
      <c r="F98" s="37"/>
      <c r="G98" s="37"/>
      <c r="H98" s="38"/>
      <c r="I98" s="37"/>
      <c r="J98" s="37"/>
      <c r="K98" s="40" t="b">
        <f aca="false">IF(J98="Pending",TRUE(),FALSE())</f>
        <v>0</v>
      </c>
      <c r="L98" s="37"/>
      <c r="M98" s="1"/>
      <c r="N98" s="1"/>
    </row>
    <row r="99" customFormat="false" ht="15" hidden="false" customHeight="false" outlineLevel="0" collapsed="false">
      <c r="A99" s="1"/>
      <c r="B99" s="41" t="str">
        <f aca="false">IF(C99="","","TX-"&amp;TEXT(YEAR(C99),"0000")&amp;"-"&amp;TEXT(ROW()-7,"0000"))</f>
        <v/>
      </c>
      <c r="C99" s="36"/>
      <c r="D99" s="37"/>
      <c r="E99" s="37"/>
      <c r="F99" s="37"/>
      <c r="G99" s="37"/>
      <c r="H99" s="38"/>
      <c r="I99" s="37"/>
      <c r="J99" s="37"/>
      <c r="K99" s="42" t="b">
        <f aca="false">IF(J99="Pending",TRUE(),FALSE())</f>
        <v>0</v>
      </c>
      <c r="L99" s="37"/>
      <c r="M99" s="1"/>
      <c r="N99" s="1"/>
    </row>
    <row r="100" customFormat="false" ht="15" hidden="false" customHeight="false" outlineLevel="0" collapsed="false">
      <c r="A100" s="1"/>
      <c r="B100" s="35" t="str">
        <f aca="false">IF(C100="","","TX-"&amp;TEXT(YEAR(C100),"0000")&amp;"-"&amp;TEXT(ROW()-7,"0000"))</f>
        <v/>
      </c>
      <c r="C100" s="36"/>
      <c r="D100" s="37"/>
      <c r="E100" s="37"/>
      <c r="F100" s="37"/>
      <c r="G100" s="37"/>
      <c r="H100" s="38"/>
      <c r="I100" s="37"/>
      <c r="J100" s="37"/>
      <c r="K100" s="40" t="b">
        <f aca="false">IF(J100="Pending",TRUE(),FALSE())</f>
        <v>0</v>
      </c>
      <c r="L100" s="37"/>
      <c r="M100" s="1"/>
      <c r="N100" s="1"/>
    </row>
    <row r="101" customFormat="false" ht="15" hidden="false" customHeight="false" outlineLevel="0" collapsed="false">
      <c r="A101" s="1"/>
      <c r="B101" s="41" t="str">
        <f aca="false">IF(C101="","","TX-"&amp;TEXT(YEAR(C101),"0000")&amp;"-"&amp;TEXT(ROW()-7,"0000"))</f>
        <v/>
      </c>
      <c r="C101" s="36"/>
      <c r="D101" s="37"/>
      <c r="E101" s="37"/>
      <c r="F101" s="37"/>
      <c r="G101" s="37"/>
      <c r="H101" s="38"/>
      <c r="I101" s="37"/>
      <c r="J101" s="37"/>
      <c r="K101" s="42" t="b">
        <f aca="false">IF(J101="Pending",TRUE(),FALSE())</f>
        <v>0</v>
      </c>
      <c r="L101" s="37"/>
      <c r="M101" s="1"/>
      <c r="N101" s="1"/>
    </row>
    <row r="102" customFormat="false" ht="15" hidden="false" customHeight="false" outlineLevel="0" collapsed="false">
      <c r="A102" s="1"/>
      <c r="B102" s="35" t="str">
        <f aca="false">IF(C102="","","TX-"&amp;TEXT(YEAR(C102),"0000")&amp;"-"&amp;TEXT(ROW()-7,"0000"))</f>
        <v/>
      </c>
      <c r="C102" s="36"/>
      <c r="D102" s="37"/>
      <c r="E102" s="37"/>
      <c r="F102" s="37"/>
      <c r="G102" s="37"/>
      <c r="H102" s="38"/>
      <c r="I102" s="37"/>
      <c r="J102" s="37"/>
      <c r="K102" s="40" t="b">
        <f aca="false">IF(J102="Pending",TRUE(),FALSE())</f>
        <v>0</v>
      </c>
      <c r="L102" s="37"/>
      <c r="M102" s="1"/>
      <c r="N102" s="1"/>
    </row>
    <row r="103" customFormat="false" ht="15" hidden="false" customHeight="false" outlineLevel="0" collapsed="false">
      <c r="A103" s="1"/>
      <c r="B103" s="41" t="str">
        <f aca="false">IF(C103="","","TX-"&amp;TEXT(YEAR(C103),"0000")&amp;"-"&amp;TEXT(ROW()-7,"0000"))</f>
        <v/>
      </c>
      <c r="C103" s="36"/>
      <c r="D103" s="37"/>
      <c r="E103" s="37"/>
      <c r="F103" s="37"/>
      <c r="G103" s="37"/>
      <c r="H103" s="38"/>
      <c r="I103" s="37"/>
      <c r="J103" s="37"/>
      <c r="K103" s="42" t="b">
        <f aca="false">IF(J103="Pending",TRUE(),FALSE())</f>
        <v>0</v>
      </c>
      <c r="L103" s="37"/>
      <c r="M103" s="1"/>
      <c r="N103" s="1"/>
    </row>
    <row r="104" customFormat="false" ht="15" hidden="false" customHeight="false" outlineLevel="0" collapsed="false">
      <c r="A104" s="1"/>
      <c r="B104" s="35" t="str">
        <f aca="false">IF(C104="","","TX-"&amp;TEXT(YEAR(C104),"0000")&amp;"-"&amp;TEXT(ROW()-7,"0000"))</f>
        <v/>
      </c>
      <c r="C104" s="36"/>
      <c r="D104" s="37"/>
      <c r="E104" s="37"/>
      <c r="F104" s="37"/>
      <c r="G104" s="37"/>
      <c r="H104" s="38"/>
      <c r="I104" s="37"/>
      <c r="J104" s="37"/>
      <c r="K104" s="40" t="b">
        <f aca="false">IF(J104="Pending",TRUE(),FALSE())</f>
        <v>0</v>
      </c>
      <c r="L104" s="37"/>
      <c r="M104" s="1"/>
      <c r="N104" s="1"/>
    </row>
    <row r="105" customFormat="false" ht="15" hidden="false" customHeight="false" outlineLevel="0" collapsed="false">
      <c r="A105" s="1"/>
      <c r="B105" s="41" t="str">
        <f aca="false">IF(C105="","","TX-"&amp;TEXT(YEAR(C105),"0000")&amp;"-"&amp;TEXT(ROW()-7,"0000"))</f>
        <v/>
      </c>
      <c r="C105" s="36"/>
      <c r="D105" s="37"/>
      <c r="E105" s="37"/>
      <c r="F105" s="37"/>
      <c r="G105" s="37"/>
      <c r="H105" s="38"/>
      <c r="I105" s="37"/>
      <c r="J105" s="37"/>
      <c r="K105" s="42" t="b">
        <f aca="false">IF(J105="Pending",TRUE(),FALSE())</f>
        <v>0</v>
      </c>
      <c r="L105" s="37"/>
      <c r="M105" s="1"/>
      <c r="N105" s="1"/>
    </row>
    <row r="106" customFormat="false" ht="15" hidden="false" customHeight="false" outlineLevel="0" collapsed="false">
      <c r="A106" s="1"/>
      <c r="B106" s="35" t="str">
        <f aca="false">IF(C106="","","TX-"&amp;TEXT(YEAR(C106),"0000")&amp;"-"&amp;TEXT(ROW()-7,"0000"))</f>
        <v/>
      </c>
      <c r="C106" s="36"/>
      <c r="D106" s="37"/>
      <c r="E106" s="37"/>
      <c r="F106" s="37"/>
      <c r="G106" s="37"/>
      <c r="H106" s="38"/>
      <c r="I106" s="37"/>
      <c r="J106" s="37"/>
      <c r="K106" s="40" t="b">
        <f aca="false">IF(J106="Pending",TRUE(),FALSE())</f>
        <v>0</v>
      </c>
      <c r="L106" s="37"/>
      <c r="M106" s="1"/>
      <c r="N106" s="1"/>
    </row>
    <row r="107" customFormat="false" ht="15" hidden="false" customHeight="false" outlineLevel="0" collapsed="false">
      <c r="A107" s="1"/>
      <c r="B107" s="41" t="str">
        <f aca="false">IF(C107="","","TX-"&amp;TEXT(YEAR(C107),"0000")&amp;"-"&amp;TEXT(ROW()-7,"0000"))</f>
        <v/>
      </c>
      <c r="C107" s="36"/>
      <c r="D107" s="37"/>
      <c r="E107" s="37"/>
      <c r="F107" s="37"/>
      <c r="G107" s="37"/>
      <c r="H107" s="38"/>
      <c r="I107" s="37"/>
      <c r="J107" s="37"/>
      <c r="K107" s="42" t="b">
        <f aca="false">IF(J107="Pending",TRUE(),FALSE())</f>
        <v>0</v>
      </c>
      <c r="L107" s="37"/>
      <c r="M107" s="1"/>
      <c r="N107" s="1"/>
    </row>
    <row r="108" customFormat="false" ht="13.5" hidden="false" customHeight="true" outlineLevel="0" collapsed="false">
      <c r="A108" s="1"/>
      <c r="B108" s="9" t="s">
        <v>93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</sheetData>
  <dataValidations count="5">
    <dataValidation allowBlank="true" error="Please select a valid option from the dropdown list." errorStyle="stop" errorTitle="Invalid Entry" operator="between" showDropDown="false" showErrorMessage="true" showInputMessage="false" sqref="D8:D507" type="list">
      <formula1>Config_Setup!$C$9:$C$11</formula1>
      <formula2>0</formula2>
    </dataValidation>
    <dataValidation allowBlank="true" error="Please select a valid option from the dropdown list." errorStyle="stop" errorTitle="Invalid Entry" operator="between" showDropDown="false" showErrorMessage="true" showInputMessage="false" sqref="E8:E507" type="list">
      <formula1>Config_Setup!$B$15:$B$16</formula1>
      <formula2>0</formula2>
    </dataValidation>
    <dataValidation allowBlank="true" error="Please select a valid option from the dropdown list." errorStyle="stop" errorTitle="Invalid Entry" operator="between" showDropDown="false" showErrorMessage="true" showInputMessage="false" sqref="F8:F507" type="list">
      <formula1>Config_Setup!$N$9:$N$15</formula1>
      <formula2>0</formula2>
    </dataValidation>
    <dataValidation allowBlank="true" error="Please select a valid option from the dropdown list." errorStyle="stop" errorTitle="Invalid Entry" operator="between" showDropDown="false" showErrorMessage="true" showInputMessage="false" sqref="G8:G507" type="list">
      <formula1>Config_Setup!$O$9:$O$28</formula1>
      <formula2>0</formula2>
    </dataValidation>
    <dataValidation allowBlank="true" error="Please select a valid option from the dropdown list." errorStyle="stop" errorTitle="Invalid Entry" operator="between" showDropDown="false" showErrorMessage="true" showInputMessage="false" sqref="J8:J507" type="list">
      <formula1>Config_Setup!$B$20:$B$21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4E64"/>
    <pageSetUpPr fitToPage="false"/>
  </sheetPr>
  <dimension ref="A1:V3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6" min="5" style="0" width="18"/>
    <col collapsed="false" customWidth="true" hidden="false" outlineLevel="0" max="8" min="7" style="0" width="16"/>
    <col collapsed="false" customWidth="true" hidden="false" outlineLevel="0" max="10" min="9" style="0" width="19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5" min="15" style="0" width="2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/>
      <c r="B2" s="4" t="s">
        <v>0</v>
      </c>
      <c r="C2" s="2"/>
      <c r="D2" s="2"/>
      <c r="E2" s="2"/>
      <c r="F2" s="4" t="s">
        <v>1</v>
      </c>
      <c r="G2" s="2"/>
      <c r="H2" s="2"/>
      <c r="I2" s="2"/>
      <c r="J2" s="3" t="s">
        <v>2</v>
      </c>
      <c r="K2" s="2"/>
      <c r="L2" s="2"/>
      <c r="M2" s="2"/>
      <c r="N2" s="4" t="s">
        <v>3</v>
      </c>
      <c r="O2" s="2"/>
      <c r="P2" s="2"/>
      <c r="Q2" s="2"/>
      <c r="R2" s="2"/>
      <c r="S2" s="2"/>
      <c r="T2" s="2"/>
      <c r="U2" s="2"/>
      <c r="V2" s="2"/>
    </row>
    <row r="3" customFormat="false" ht="4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A5" s="1"/>
      <c r="B5" s="34" t="s">
        <v>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2" hidden="false" customHeight="true" outlineLevel="0" collapsed="false">
      <c r="A6" s="1"/>
      <c r="B6" s="9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21.75" hidden="false" customHeight="true" outlineLevel="0" collapsed="false">
      <c r="A7" s="1"/>
      <c r="B7" s="44" t="s">
        <v>96</v>
      </c>
      <c r="C7" s="44" t="s">
        <v>97</v>
      </c>
      <c r="D7" s="45" t="s">
        <v>98</v>
      </c>
      <c r="E7" s="45" t="s">
        <v>99</v>
      </c>
      <c r="F7" s="45" t="s">
        <v>21</v>
      </c>
      <c r="G7" s="45" t="s">
        <v>100</v>
      </c>
      <c r="H7" s="45" t="s">
        <v>101</v>
      </c>
      <c r="I7" s="45" t="s">
        <v>102</v>
      </c>
      <c r="J7" s="45" t="s">
        <v>103</v>
      </c>
      <c r="K7" s="45" t="s">
        <v>104</v>
      </c>
      <c r="L7" s="45" t="s">
        <v>105</v>
      </c>
      <c r="M7" s="45" t="s">
        <v>106</v>
      </c>
      <c r="N7" s="45" t="s">
        <v>107</v>
      </c>
      <c r="O7" s="45" t="s">
        <v>108</v>
      </c>
      <c r="P7" s="1"/>
    </row>
    <row r="8" customFormat="false" ht="15.75" hidden="false" customHeight="true" outlineLevel="0" collapsed="false">
      <c r="A8" s="1"/>
      <c r="B8" s="46" t="n">
        <f aca="true">TODAY()-WEEKDAY(TODAY(),2)+1-77</f>
        <v>46097</v>
      </c>
      <c r="C8" s="46" t="n">
        <f aca="false">B8+6</f>
        <v>46103</v>
      </c>
      <c r="D8" s="47" t="n">
        <f aca="false">SUMIFS(Data_Transactions!$H$8:$H$507,Data_Transactions!$D$8:$D$507,"Business",Data_Transactions!$E$8:$E$507,"Inflow",Data_Transactions!$C$8:$C$507,"&gt;="&amp;B8,Data_Transactions!$C$8:$C$507,"&lt;="&amp;C8)</f>
        <v>0</v>
      </c>
      <c r="E8" s="48" t="n">
        <f aca="false">SUMIFS(Data_Transactions!$H$8:$H$507,Data_Transactions!$D$8:$D$507,"Business",Data_Transactions!$E$8:$E$507,"Outflow",Data_Transactions!$F$8:$F$507,"Business Operating Expense",Data_Transactions!$C$8:$C$507,"&gt;="&amp;B8,Data_Transactions!$C$8:$C$507,"&lt;="&amp;C8)</f>
        <v>0</v>
      </c>
      <c r="F8" s="49" t="n">
        <f aca="false">SUMIFS(Data_Transactions!$H$8:$H$507,Data_Transactions!$D$8:$D$507,"Business",Data_Transactions!$E$8:$E$507,"Outflow",Data_Transactions!$F$8:$F$507,"Owner's Draw",Data_Transactions!$C$8:$C$507,"&gt;="&amp;B8,Data_Transactions!$C$8:$C$507,"&lt;="&amp;C8)</f>
        <v>0</v>
      </c>
      <c r="G8" s="50" t="n">
        <f aca="false">D8-E8-F8</f>
        <v>0</v>
      </c>
      <c r="H8" s="47" t="n">
        <f aca="false">SUMIFS(Data_Transactions!$H$8:$H$507,Data_Transactions!$D$8:$D$507,"Personal",Data_Transactions!$E$8:$E$507,"Inflow",Data_Transactions!$C$8:$C$507,"&gt;="&amp;B8,Data_Transactions!$C$8:$C$507,"&lt;="&amp;C8)</f>
        <v>0</v>
      </c>
      <c r="I8" s="48" t="n">
        <f aca="false">SUMIFS(Data_Transactions!$H$8:$H$507,Data_Transactions!$D$8:$D$507,"Personal",Data_Transactions!$E$8:$E$507,"Outflow",Data_Transactions!$F$8:$F$507,"Survival Expenses",Data_Transactions!$C$8:$C$507,"&gt;="&amp;B8,Data_Transactions!$C$8:$C$507,"&lt;="&amp;C8)</f>
        <v>0</v>
      </c>
      <c r="J8" s="48" t="n">
        <f aca="false">SUMIFS(Data_Transactions!$H$8:$H$507,Data_Transactions!$D$8:$D$507,"Personal",Data_Transactions!$E$8:$E$507,"Outflow",Data_Transactions!$F$8:$F$507,"Discretionary Expenses",Data_Transactions!$C$8:$C$507,"&gt;="&amp;B8,Data_Transactions!$C$8:$C$507,"&lt;="&amp;C8)</f>
        <v>0</v>
      </c>
      <c r="K8" s="50" t="n">
        <f aca="false">H8-I8-J8</f>
        <v>0</v>
      </c>
      <c r="L8" s="51" t="n">
        <f aca="false">IFERROR(Config_Setup!$C$56,0)+G8</f>
        <v>25000</v>
      </c>
      <c r="M8" s="52" t="n">
        <f aca="false">IFERROR(SUMIFS(Data_Transactions!$H$8:$H$507,Data_Transactions!$D$8:$D$507,"Business",Data_Transactions!$E$8:$E$507,"Outflow",Data_Transactions!$C$8:$C$507,"&gt;="&amp;(C8-91),Data_Transactions!$C$8:$C$507,"&lt;="&amp;C8)/3,0)</f>
        <v>0</v>
      </c>
      <c r="N8" s="53" t="n">
        <f aca="false">IFERROR(L8/M8,0)</f>
        <v>0</v>
      </c>
      <c r="O8" s="54" t="str">
        <f aca="false">IF(F8=0,"N/A",IF(ABS(F8-(SUMIFS(Data_Transactions!$H$8:$H$507,Data_Transactions!$D$8:$D$507,"Personal",Data_Transactions!$E$8:$E$507,"Inflow",Data_Transactions!$G$8:$G$507,"Active Salary",Data_Transactions!$C$8:$C$507,"&gt;="&amp;(B8-3),Data_Transactions!$C$8:$C$507,"&lt;="&amp;(C8+3))))&gt;0.01,"⚠ MISMATCH","✓ OK"))</f>
        <v>N/A</v>
      </c>
      <c r="P8" s="1"/>
    </row>
    <row r="9" customFormat="false" ht="15.75" hidden="false" customHeight="true" outlineLevel="0" collapsed="false">
      <c r="A9" s="1"/>
      <c r="B9" s="55" t="n">
        <f aca="true">TODAY()-WEEKDAY(TODAY(),2)+1-70</f>
        <v>46104</v>
      </c>
      <c r="C9" s="55" t="n">
        <f aca="false">B9+6</f>
        <v>46110</v>
      </c>
      <c r="D9" s="56" t="n">
        <f aca="false">SUMIFS(Data_Transactions!$H$8:$H$507,Data_Transactions!$D$8:$D$507,"Business",Data_Transactions!$E$8:$E$507,"Inflow",Data_Transactions!$C$8:$C$507,"&gt;="&amp;B9,Data_Transactions!$C$8:$C$507,"&lt;="&amp;C9)</f>
        <v>0</v>
      </c>
      <c r="E9" s="57" t="n">
        <f aca="false">SUMIFS(Data_Transactions!$H$8:$H$507,Data_Transactions!$D$8:$D$507,"Business",Data_Transactions!$E$8:$E$507,"Outflow",Data_Transactions!$F$8:$F$507,"Business Operating Expense",Data_Transactions!$C$8:$C$507,"&gt;="&amp;B9,Data_Transactions!$C$8:$C$507,"&lt;="&amp;C9)</f>
        <v>0</v>
      </c>
      <c r="F9" s="58" t="n">
        <f aca="false">SUMIFS(Data_Transactions!$H$8:$H$507,Data_Transactions!$D$8:$D$507,"Business",Data_Transactions!$E$8:$E$507,"Outflow",Data_Transactions!$F$8:$F$507,"Owner's Draw",Data_Transactions!$C$8:$C$507,"&gt;="&amp;B9,Data_Transactions!$C$8:$C$507,"&lt;="&amp;C9)</f>
        <v>0</v>
      </c>
      <c r="G9" s="59" t="n">
        <f aca="false">D9-E9-F9</f>
        <v>0</v>
      </c>
      <c r="H9" s="56" t="n">
        <f aca="false">SUMIFS(Data_Transactions!$H$8:$H$507,Data_Transactions!$D$8:$D$507,"Personal",Data_Transactions!$E$8:$E$507,"Inflow",Data_Transactions!$C$8:$C$507,"&gt;="&amp;B9,Data_Transactions!$C$8:$C$507,"&lt;="&amp;C9)</f>
        <v>0</v>
      </c>
      <c r="I9" s="57" t="n">
        <f aca="false">SUMIFS(Data_Transactions!$H$8:$H$507,Data_Transactions!$D$8:$D$507,"Personal",Data_Transactions!$E$8:$E$507,"Outflow",Data_Transactions!$F$8:$F$507,"Survival Expenses",Data_Transactions!$C$8:$C$507,"&gt;="&amp;B9,Data_Transactions!$C$8:$C$507,"&lt;="&amp;C9)</f>
        <v>0</v>
      </c>
      <c r="J9" s="57" t="n">
        <f aca="false">SUMIFS(Data_Transactions!$H$8:$H$507,Data_Transactions!$D$8:$D$507,"Personal",Data_Transactions!$E$8:$E$507,"Outflow",Data_Transactions!$F$8:$F$507,"Discretionary Expenses",Data_Transactions!$C$8:$C$507,"&gt;="&amp;B9,Data_Transactions!$C$8:$C$507,"&lt;="&amp;C9)</f>
        <v>0</v>
      </c>
      <c r="K9" s="59" t="n">
        <f aca="false">H9-I9-J9</f>
        <v>0</v>
      </c>
      <c r="L9" s="60" t="n">
        <f aca="false">L8+G9</f>
        <v>25000</v>
      </c>
      <c r="M9" s="61" t="n">
        <f aca="false">IFERROR(SUMIFS(Data_Transactions!$H$8:$H$507,Data_Transactions!$D$8:$D$507,"Business",Data_Transactions!$E$8:$E$507,"Outflow",Data_Transactions!$C$8:$C$507,"&gt;="&amp;(C9-91),Data_Transactions!$C$8:$C$507,"&lt;="&amp;C9)/3,0)</f>
        <v>0</v>
      </c>
      <c r="N9" s="62" t="n">
        <f aca="false">IFERROR(L9/M9,0)</f>
        <v>0</v>
      </c>
      <c r="O9" s="63" t="str">
        <f aca="false">IF(F9=0,"N/A",IF(ABS(F9-(SUMIFS(Data_Transactions!$H$8:$H$507,Data_Transactions!$D$8:$D$507,"Personal",Data_Transactions!$E$8:$E$507,"Inflow",Data_Transactions!$G$8:$G$507,"Active Salary",Data_Transactions!$C$8:$C$507,"&gt;="&amp;(B9-3),Data_Transactions!$C$8:$C$507,"&lt;="&amp;(C9+3))))&gt;0.01,"⚠ MISMATCH","✓ OK"))</f>
        <v>N/A</v>
      </c>
      <c r="P9" s="1"/>
    </row>
    <row r="10" customFormat="false" ht="15.75" hidden="false" customHeight="true" outlineLevel="0" collapsed="false">
      <c r="A10" s="1"/>
      <c r="B10" s="46" t="n">
        <f aca="true">TODAY()-WEEKDAY(TODAY(),2)+1-63</f>
        <v>46111</v>
      </c>
      <c r="C10" s="46" t="n">
        <f aca="false">B10+6</f>
        <v>46117</v>
      </c>
      <c r="D10" s="47" t="n">
        <f aca="false">SUMIFS(Data_Transactions!$H$8:$H$507,Data_Transactions!$D$8:$D$507,"Business",Data_Transactions!$E$8:$E$507,"Inflow",Data_Transactions!$C$8:$C$507,"&gt;="&amp;B10,Data_Transactions!$C$8:$C$507,"&lt;="&amp;C10)</f>
        <v>0</v>
      </c>
      <c r="E10" s="48" t="n">
        <f aca="false">SUMIFS(Data_Transactions!$H$8:$H$507,Data_Transactions!$D$8:$D$507,"Business",Data_Transactions!$E$8:$E$507,"Outflow",Data_Transactions!$F$8:$F$507,"Business Operating Expense",Data_Transactions!$C$8:$C$507,"&gt;="&amp;B10,Data_Transactions!$C$8:$C$507,"&lt;="&amp;C10)</f>
        <v>0</v>
      </c>
      <c r="F10" s="49" t="n">
        <f aca="false">SUMIFS(Data_Transactions!$H$8:$H$507,Data_Transactions!$D$8:$D$507,"Business",Data_Transactions!$E$8:$E$507,"Outflow",Data_Transactions!$F$8:$F$507,"Owner's Draw",Data_Transactions!$C$8:$C$507,"&gt;="&amp;B10,Data_Transactions!$C$8:$C$507,"&lt;="&amp;C10)</f>
        <v>0</v>
      </c>
      <c r="G10" s="50" t="n">
        <f aca="false">D10-E10-F10</f>
        <v>0</v>
      </c>
      <c r="H10" s="47" t="n">
        <f aca="false">SUMIFS(Data_Transactions!$H$8:$H$507,Data_Transactions!$D$8:$D$507,"Personal",Data_Transactions!$E$8:$E$507,"Inflow",Data_Transactions!$C$8:$C$507,"&gt;="&amp;B10,Data_Transactions!$C$8:$C$507,"&lt;="&amp;C10)</f>
        <v>0</v>
      </c>
      <c r="I10" s="48" t="n">
        <f aca="false">SUMIFS(Data_Transactions!$H$8:$H$507,Data_Transactions!$D$8:$D$507,"Personal",Data_Transactions!$E$8:$E$507,"Outflow",Data_Transactions!$F$8:$F$507,"Survival Expenses",Data_Transactions!$C$8:$C$507,"&gt;="&amp;B10,Data_Transactions!$C$8:$C$507,"&lt;="&amp;C10)</f>
        <v>0</v>
      </c>
      <c r="J10" s="48" t="n">
        <f aca="false">SUMIFS(Data_Transactions!$H$8:$H$507,Data_Transactions!$D$8:$D$507,"Personal",Data_Transactions!$E$8:$E$507,"Outflow",Data_Transactions!$F$8:$F$507,"Discretionary Expenses",Data_Transactions!$C$8:$C$507,"&gt;="&amp;B10,Data_Transactions!$C$8:$C$507,"&lt;="&amp;C10)</f>
        <v>0</v>
      </c>
      <c r="K10" s="50" t="n">
        <f aca="false">H10-I10-J10</f>
        <v>0</v>
      </c>
      <c r="L10" s="51" t="n">
        <f aca="false">L9+G10</f>
        <v>25000</v>
      </c>
      <c r="M10" s="52" t="n">
        <f aca="false">IFERROR(SUMIFS(Data_Transactions!$H$8:$H$507,Data_Transactions!$D$8:$D$507,"Business",Data_Transactions!$E$8:$E$507,"Outflow",Data_Transactions!$C$8:$C$507,"&gt;="&amp;(C10-91),Data_Transactions!$C$8:$C$507,"&lt;="&amp;C10)/3,0)</f>
        <v>0</v>
      </c>
      <c r="N10" s="53" t="n">
        <f aca="false">IFERROR(L10/M10,0)</f>
        <v>0</v>
      </c>
      <c r="O10" s="54" t="str">
        <f aca="false">IF(F10=0,"N/A",IF(ABS(F10-(SUMIFS(Data_Transactions!$H$8:$H$507,Data_Transactions!$D$8:$D$507,"Personal",Data_Transactions!$E$8:$E$507,"Inflow",Data_Transactions!$G$8:$G$507,"Active Salary",Data_Transactions!$C$8:$C$507,"&gt;="&amp;(B10-3),Data_Transactions!$C$8:$C$507,"&lt;="&amp;(C10+3))))&gt;0.01,"⚠ MISMATCH","✓ OK"))</f>
        <v>N/A</v>
      </c>
      <c r="P10" s="1"/>
    </row>
    <row r="11" customFormat="false" ht="15.75" hidden="false" customHeight="true" outlineLevel="0" collapsed="false">
      <c r="A11" s="1"/>
      <c r="B11" s="55" t="n">
        <f aca="true">TODAY()-WEEKDAY(TODAY(),2)+1-56</f>
        <v>46118</v>
      </c>
      <c r="C11" s="55" t="n">
        <f aca="false">B11+6</f>
        <v>46124</v>
      </c>
      <c r="D11" s="56" t="n">
        <f aca="false">SUMIFS(Data_Transactions!$H$8:$H$507,Data_Transactions!$D$8:$D$507,"Business",Data_Transactions!$E$8:$E$507,"Inflow",Data_Transactions!$C$8:$C$507,"&gt;="&amp;B11,Data_Transactions!$C$8:$C$507,"&lt;="&amp;C11)</f>
        <v>0</v>
      </c>
      <c r="E11" s="57" t="n">
        <f aca="false">SUMIFS(Data_Transactions!$H$8:$H$507,Data_Transactions!$D$8:$D$507,"Business",Data_Transactions!$E$8:$E$507,"Outflow",Data_Transactions!$F$8:$F$507,"Business Operating Expense",Data_Transactions!$C$8:$C$507,"&gt;="&amp;B11,Data_Transactions!$C$8:$C$507,"&lt;="&amp;C11)</f>
        <v>0</v>
      </c>
      <c r="F11" s="58" t="n">
        <f aca="false">SUMIFS(Data_Transactions!$H$8:$H$507,Data_Transactions!$D$8:$D$507,"Business",Data_Transactions!$E$8:$E$507,"Outflow",Data_Transactions!$F$8:$F$507,"Owner's Draw",Data_Transactions!$C$8:$C$507,"&gt;="&amp;B11,Data_Transactions!$C$8:$C$507,"&lt;="&amp;C11)</f>
        <v>0</v>
      </c>
      <c r="G11" s="59" t="n">
        <f aca="false">D11-E11-F11</f>
        <v>0</v>
      </c>
      <c r="H11" s="56" t="n">
        <f aca="false">SUMIFS(Data_Transactions!$H$8:$H$507,Data_Transactions!$D$8:$D$507,"Personal",Data_Transactions!$E$8:$E$507,"Inflow",Data_Transactions!$C$8:$C$507,"&gt;="&amp;B11,Data_Transactions!$C$8:$C$507,"&lt;="&amp;C11)</f>
        <v>0</v>
      </c>
      <c r="I11" s="57" t="n">
        <f aca="false">SUMIFS(Data_Transactions!$H$8:$H$507,Data_Transactions!$D$8:$D$507,"Personal",Data_Transactions!$E$8:$E$507,"Outflow",Data_Transactions!$F$8:$F$507,"Survival Expenses",Data_Transactions!$C$8:$C$507,"&gt;="&amp;B11,Data_Transactions!$C$8:$C$507,"&lt;="&amp;C11)</f>
        <v>0</v>
      </c>
      <c r="J11" s="57" t="n">
        <f aca="false">SUMIFS(Data_Transactions!$H$8:$H$507,Data_Transactions!$D$8:$D$507,"Personal",Data_Transactions!$E$8:$E$507,"Outflow",Data_Transactions!$F$8:$F$507,"Discretionary Expenses",Data_Transactions!$C$8:$C$507,"&gt;="&amp;B11,Data_Transactions!$C$8:$C$507,"&lt;="&amp;C11)</f>
        <v>0</v>
      </c>
      <c r="K11" s="59" t="n">
        <f aca="false">H11-I11-J11</f>
        <v>0</v>
      </c>
      <c r="L11" s="60" t="n">
        <f aca="false">L10+G11</f>
        <v>25000</v>
      </c>
      <c r="M11" s="61" t="n">
        <f aca="false">IFERROR(SUMIFS(Data_Transactions!$H$8:$H$507,Data_Transactions!$D$8:$D$507,"Business",Data_Transactions!$E$8:$E$507,"Outflow",Data_Transactions!$C$8:$C$507,"&gt;="&amp;(C11-91),Data_Transactions!$C$8:$C$507,"&lt;="&amp;C11)/3,0)</f>
        <v>0</v>
      </c>
      <c r="N11" s="62" t="n">
        <f aca="false">IFERROR(L11/M11,0)</f>
        <v>0</v>
      </c>
      <c r="O11" s="63" t="str">
        <f aca="false">IF(F11=0,"N/A",IF(ABS(F11-(SUMIFS(Data_Transactions!$H$8:$H$507,Data_Transactions!$D$8:$D$507,"Personal",Data_Transactions!$E$8:$E$507,"Inflow",Data_Transactions!$G$8:$G$507,"Active Salary",Data_Transactions!$C$8:$C$507,"&gt;="&amp;(B11-3),Data_Transactions!$C$8:$C$507,"&lt;="&amp;(C11+3))))&gt;0.01,"⚠ MISMATCH","✓ OK"))</f>
        <v>N/A</v>
      </c>
      <c r="P11" s="1"/>
    </row>
    <row r="12" customFormat="false" ht="15.75" hidden="false" customHeight="true" outlineLevel="0" collapsed="false">
      <c r="A12" s="1"/>
      <c r="B12" s="46" t="n">
        <f aca="true">TODAY()-WEEKDAY(TODAY(),2)+1-49</f>
        <v>46125</v>
      </c>
      <c r="C12" s="46" t="n">
        <f aca="false">B12+6</f>
        <v>46131</v>
      </c>
      <c r="D12" s="47" t="n">
        <f aca="false">SUMIFS(Data_Transactions!$H$8:$H$507,Data_Transactions!$D$8:$D$507,"Business",Data_Transactions!$E$8:$E$507,"Inflow",Data_Transactions!$C$8:$C$507,"&gt;="&amp;B12,Data_Transactions!$C$8:$C$507,"&lt;="&amp;C12)</f>
        <v>0</v>
      </c>
      <c r="E12" s="48" t="n">
        <f aca="false">SUMIFS(Data_Transactions!$H$8:$H$507,Data_Transactions!$D$8:$D$507,"Business",Data_Transactions!$E$8:$E$507,"Outflow",Data_Transactions!$F$8:$F$507,"Business Operating Expense",Data_Transactions!$C$8:$C$507,"&gt;="&amp;B12,Data_Transactions!$C$8:$C$507,"&lt;="&amp;C12)</f>
        <v>0</v>
      </c>
      <c r="F12" s="49" t="n">
        <f aca="false">SUMIFS(Data_Transactions!$H$8:$H$507,Data_Transactions!$D$8:$D$507,"Business",Data_Transactions!$E$8:$E$507,"Outflow",Data_Transactions!$F$8:$F$507,"Owner's Draw",Data_Transactions!$C$8:$C$507,"&gt;="&amp;B12,Data_Transactions!$C$8:$C$507,"&lt;="&amp;C12)</f>
        <v>0</v>
      </c>
      <c r="G12" s="50" t="n">
        <f aca="false">D12-E12-F12</f>
        <v>0</v>
      </c>
      <c r="H12" s="47" t="n">
        <f aca="false">SUMIFS(Data_Transactions!$H$8:$H$507,Data_Transactions!$D$8:$D$507,"Personal",Data_Transactions!$E$8:$E$507,"Inflow",Data_Transactions!$C$8:$C$507,"&gt;="&amp;B12,Data_Transactions!$C$8:$C$507,"&lt;="&amp;C12)</f>
        <v>0</v>
      </c>
      <c r="I12" s="48" t="n">
        <f aca="false">SUMIFS(Data_Transactions!$H$8:$H$507,Data_Transactions!$D$8:$D$507,"Personal",Data_Transactions!$E$8:$E$507,"Outflow",Data_Transactions!$F$8:$F$507,"Survival Expenses",Data_Transactions!$C$8:$C$507,"&gt;="&amp;B12,Data_Transactions!$C$8:$C$507,"&lt;="&amp;C12)</f>
        <v>0</v>
      </c>
      <c r="J12" s="48" t="n">
        <f aca="false">SUMIFS(Data_Transactions!$H$8:$H$507,Data_Transactions!$D$8:$D$507,"Personal",Data_Transactions!$E$8:$E$507,"Outflow",Data_Transactions!$F$8:$F$507,"Discretionary Expenses",Data_Transactions!$C$8:$C$507,"&gt;="&amp;B12,Data_Transactions!$C$8:$C$507,"&lt;="&amp;C12)</f>
        <v>0</v>
      </c>
      <c r="K12" s="50" t="n">
        <f aca="false">H12-I12-J12</f>
        <v>0</v>
      </c>
      <c r="L12" s="51" t="n">
        <f aca="false">L11+G12</f>
        <v>25000</v>
      </c>
      <c r="M12" s="52" t="n">
        <f aca="false">IFERROR(SUMIFS(Data_Transactions!$H$8:$H$507,Data_Transactions!$D$8:$D$507,"Business",Data_Transactions!$E$8:$E$507,"Outflow",Data_Transactions!$C$8:$C$507,"&gt;="&amp;(C12-91),Data_Transactions!$C$8:$C$507,"&lt;="&amp;C12)/3,0)</f>
        <v>0</v>
      </c>
      <c r="N12" s="53" t="n">
        <f aca="false">IFERROR(L12/M12,0)</f>
        <v>0</v>
      </c>
      <c r="O12" s="54" t="str">
        <f aca="false">IF(F12=0,"N/A",IF(ABS(F12-(SUMIFS(Data_Transactions!$H$8:$H$507,Data_Transactions!$D$8:$D$507,"Personal",Data_Transactions!$E$8:$E$507,"Inflow",Data_Transactions!$G$8:$G$507,"Active Salary",Data_Transactions!$C$8:$C$507,"&gt;="&amp;(B12-3),Data_Transactions!$C$8:$C$507,"&lt;="&amp;(C12+3))))&gt;0.01,"⚠ MISMATCH","✓ OK"))</f>
        <v>N/A</v>
      </c>
      <c r="P12" s="1"/>
    </row>
    <row r="13" customFormat="false" ht="15.75" hidden="false" customHeight="true" outlineLevel="0" collapsed="false">
      <c r="A13" s="1"/>
      <c r="B13" s="55" t="n">
        <f aca="true">TODAY()-WEEKDAY(TODAY(),2)+1-42</f>
        <v>46132</v>
      </c>
      <c r="C13" s="55" t="n">
        <f aca="false">B13+6</f>
        <v>46138</v>
      </c>
      <c r="D13" s="56" t="n">
        <f aca="false">SUMIFS(Data_Transactions!$H$8:$H$507,Data_Transactions!$D$8:$D$507,"Business",Data_Transactions!$E$8:$E$507,"Inflow",Data_Transactions!$C$8:$C$507,"&gt;="&amp;B13,Data_Transactions!$C$8:$C$507,"&lt;="&amp;C13)</f>
        <v>0</v>
      </c>
      <c r="E13" s="57" t="n">
        <f aca="false">SUMIFS(Data_Transactions!$H$8:$H$507,Data_Transactions!$D$8:$D$507,"Business",Data_Transactions!$E$8:$E$507,"Outflow",Data_Transactions!$F$8:$F$507,"Business Operating Expense",Data_Transactions!$C$8:$C$507,"&gt;="&amp;B13,Data_Transactions!$C$8:$C$507,"&lt;="&amp;C13)</f>
        <v>0</v>
      </c>
      <c r="F13" s="58" t="n">
        <f aca="false">SUMIFS(Data_Transactions!$H$8:$H$507,Data_Transactions!$D$8:$D$507,"Business",Data_Transactions!$E$8:$E$507,"Outflow",Data_Transactions!$F$8:$F$507,"Owner's Draw",Data_Transactions!$C$8:$C$507,"&gt;="&amp;B13,Data_Transactions!$C$8:$C$507,"&lt;="&amp;C13)</f>
        <v>0</v>
      </c>
      <c r="G13" s="59" t="n">
        <f aca="false">D13-E13-F13</f>
        <v>0</v>
      </c>
      <c r="H13" s="56" t="n">
        <f aca="false">SUMIFS(Data_Transactions!$H$8:$H$507,Data_Transactions!$D$8:$D$507,"Personal",Data_Transactions!$E$8:$E$507,"Inflow",Data_Transactions!$C$8:$C$507,"&gt;="&amp;B13,Data_Transactions!$C$8:$C$507,"&lt;="&amp;C13)</f>
        <v>0</v>
      </c>
      <c r="I13" s="57" t="n">
        <f aca="false">SUMIFS(Data_Transactions!$H$8:$H$507,Data_Transactions!$D$8:$D$507,"Personal",Data_Transactions!$E$8:$E$507,"Outflow",Data_Transactions!$F$8:$F$507,"Survival Expenses",Data_Transactions!$C$8:$C$507,"&gt;="&amp;B13,Data_Transactions!$C$8:$C$507,"&lt;="&amp;C13)</f>
        <v>0</v>
      </c>
      <c r="J13" s="57" t="n">
        <f aca="false">SUMIFS(Data_Transactions!$H$8:$H$507,Data_Transactions!$D$8:$D$507,"Personal",Data_Transactions!$E$8:$E$507,"Outflow",Data_Transactions!$F$8:$F$507,"Discretionary Expenses",Data_Transactions!$C$8:$C$507,"&gt;="&amp;B13,Data_Transactions!$C$8:$C$507,"&lt;="&amp;C13)</f>
        <v>0</v>
      </c>
      <c r="K13" s="59" t="n">
        <f aca="false">H13-I13-J13</f>
        <v>0</v>
      </c>
      <c r="L13" s="60" t="n">
        <f aca="false">L12+G13</f>
        <v>25000</v>
      </c>
      <c r="M13" s="61" t="n">
        <f aca="false">IFERROR(SUMIFS(Data_Transactions!$H$8:$H$507,Data_Transactions!$D$8:$D$507,"Business",Data_Transactions!$E$8:$E$507,"Outflow",Data_Transactions!$C$8:$C$507,"&gt;="&amp;(C13-91),Data_Transactions!$C$8:$C$507,"&lt;="&amp;C13)/3,0)</f>
        <v>0</v>
      </c>
      <c r="N13" s="62" t="n">
        <f aca="false">IFERROR(L13/M13,0)</f>
        <v>0</v>
      </c>
      <c r="O13" s="63" t="str">
        <f aca="false">IF(F13=0,"N/A",IF(ABS(F13-(SUMIFS(Data_Transactions!$H$8:$H$507,Data_Transactions!$D$8:$D$507,"Personal",Data_Transactions!$E$8:$E$507,"Inflow",Data_Transactions!$G$8:$G$507,"Active Salary",Data_Transactions!$C$8:$C$507,"&gt;="&amp;(B13-3),Data_Transactions!$C$8:$C$507,"&lt;="&amp;(C13+3))))&gt;0.01,"⚠ MISMATCH","✓ OK"))</f>
        <v>N/A</v>
      </c>
      <c r="P13" s="1"/>
    </row>
    <row r="14" customFormat="false" ht="15.75" hidden="false" customHeight="true" outlineLevel="0" collapsed="false">
      <c r="A14" s="1"/>
      <c r="B14" s="46" t="n">
        <f aca="true">TODAY()-WEEKDAY(TODAY(),2)+1-35</f>
        <v>46139</v>
      </c>
      <c r="C14" s="46" t="n">
        <f aca="false">B14+6</f>
        <v>46145</v>
      </c>
      <c r="D14" s="47" t="n">
        <f aca="false">SUMIFS(Data_Transactions!$H$8:$H$507,Data_Transactions!$D$8:$D$507,"Business",Data_Transactions!$E$8:$E$507,"Inflow",Data_Transactions!$C$8:$C$507,"&gt;="&amp;B14,Data_Transactions!$C$8:$C$507,"&lt;="&amp;C14)</f>
        <v>0</v>
      </c>
      <c r="E14" s="48" t="n">
        <f aca="false">SUMIFS(Data_Transactions!$H$8:$H$507,Data_Transactions!$D$8:$D$507,"Business",Data_Transactions!$E$8:$E$507,"Outflow",Data_Transactions!$F$8:$F$507,"Business Operating Expense",Data_Transactions!$C$8:$C$507,"&gt;="&amp;B14,Data_Transactions!$C$8:$C$507,"&lt;="&amp;C14)</f>
        <v>0</v>
      </c>
      <c r="F14" s="49" t="n">
        <f aca="false">SUMIFS(Data_Transactions!$H$8:$H$507,Data_Transactions!$D$8:$D$507,"Business",Data_Transactions!$E$8:$E$507,"Outflow",Data_Transactions!$F$8:$F$507,"Owner's Draw",Data_Transactions!$C$8:$C$507,"&gt;="&amp;B14,Data_Transactions!$C$8:$C$507,"&lt;="&amp;C14)</f>
        <v>0</v>
      </c>
      <c r="G14" s="50" t="n">
        <f aca="false">D14-E14-F14</f>
        <v>0</v>
      </c>
      <c r="H14" s="47" t="n">
        <f aca="false">SUMIFS(Data_Transactions!$H$8:$H$507,Data_Transactions!$D$8:$D$507,"Personal",Data_Transactions!$E$8:$E$507,"Inflow",Data_Transactions!$C$8:$C$507,"&gt;="&amp;B14,Data_Transactions!$C$8:$C$507,"&lt;="&amp;C14)</f>
        <v>0</v>
      </c>
      <c r="I14" s="48" t="n">
        <f aca="false">SUMIFS(Data_Transactions!$H$8:$H$507,Data_Transactions!$D$8:$D$507,"Personal",Data_Transactions!$E$8:$E$507,"Outflow",Data_Transactions!$F$8:$F$507,"Survival Expenses",Data_Transactions!$C$8:$C$507,"&gt;="&amp;B14,Data_Transactions!$C$8:$C$507,"&lt;="&amp;C14)</f>
        <v>0</v>
      </c>
      <c r="J14" s="48" t="n">
        <f aca="false">SUMIFS(Data_Transactions!$H$8:$H$507,Data_Transactions!$D$8:$D$507,"Personal",Data_Transactions!$E$8:$E$507,"Outflow",Data_Transactions!$F$8:$F$507,"Discretionary Expenses",Data_Transactions!$C$8:$C$507,"&gt;="&amp;B14,Data_Transactions!$C$8:$C$507,"&lt;="&amp;C14)</f>
        <v>0</v>
      </c>
      <c r="K14" s="50" t="n">
        <f aca="false">H14-I14-J14</f>
        <v>0</v>
      </c>
      <c r="L14" s="51" t="n">
        <f aca="false">L13+G14</f>
        <v>25000</v>
      </c>
      <c r="M14" s="52" t="n">
        <f aca="false">IFERROR(SUMIFS(Data_Transactions!$H$8:$H$507,Data_Transactions!$D$8:$D$507,"Business",Data_Transactions!$E$8:$E$507,"Outflow",Data_Transactions!$C$8:$C$507,"&gt;="&amp;(C14-91),Data_Transactions!$C$8:$C$507,"&lt;="&amp;C14)/3,0)</f>
        <v>0</v>
      </c>
      <c r="N14" s="53" t="n">
        <f aca="false">IFERROR(L14/M14,0)</f>
        <v>0</v>
      </c>
      <c r="O14" s="54" t="str">
        <f aca="false">IF(F14=0,"N/A",IF(ABS(F14-(SUMIFS(Data_Transactions!$H$8:$H$507,Data_Transactions!$D$8:$D$507,"Personal",Data_Transactions!$E$8:$E$507,"Inflow",Data_Transactions!$G$8:$G$507,"Active Salary",Data_Transactions!$C$8:$C$507,"&gt;="&amp;(B14-3),Data_Transactions!$C$8:$C$507,"&lt;="&amp;(C14+3))))&gt;0.01,"⚠ MISMATCH","✓ OK"))</f>
        <v>N/A</v>
      </c>
      <c r="P14" s="1"/>
    </row>
    <row r="15" customFormat="false" ht="15.75" hidden="false" customHeight="true" outlineLevel="0" collapsed="false">
      <c r="A15" s="1"/>
      <c r="B15" s="55" t="n">
        <f aca="true">TODAY()-WEEKDAY(TODAY(),2)+1-28</f>
        <v>46146</v>
      </c>
      <c r="C15" s="55" t="n">
        <f aca="false">B15+6</f>
        <v>46152</v>
      </c>
      <c r="D15" s="56" t="n">
        <f aca="false">SUMIFS(Data_Transactions!$H$8:$H$507,Data_Transactions!$D$8:$D$507,"Business",Data_Transactions!$E$8:$E$507,"Inflow",Data_Transactions!$C$8:$C$507,"&gt;="&amp;B15,Data_Transactions!$C$8:$C$507,"&lt;="&amp;C15)</f>
        <v>0</v>
      </c>
      <c r="E15" s="57" t="n">
        <f aca="false">SUMIFS(Data_Transactions!$H$8:$H$507,Data_Transactions!$D$8:$D$507,"Business",Data_Transactions!$E$8:$E$507,"Outflow",Data_Transactions!$F$8:$F$507,"Business Operating Expense",Data_Transactions!$C$8:$C$507,"&gt;="&amp;B15,Data_Transactions!$C$8:$C$507,"&lt;="&amp;C15)</f>
        <v>0</v>
      </c>
      <c r="F15" s="58" t="n">
        <f aca="false">SUMIFS(Data_Transactions!$H$8:$H$507,Data_Transactions!$D$8:$D$507,"Business",Data_Transactions!$E$8:$E$507,"Outflow",Data_Transactions!$F$8:$F$507,"Owner's Draw",Data_Transactions!$C$8:$C$507,"&gt;="&amp;B15,Data_Transactions!$C$8:$C$507,"&lt;="&amp;C15)</f>
        <v>0</v>
      </c>
      <c r="G15" s="59" t="n">
        <f aca="false">D15-E15-F15</f>
        <v>0</v>
      </c>
      <c r="H15" s="56" t="n">
        <f aca="false">SUMIFS(Data_Transactions!$H$8:$H$507,Data_Transactions!$D$8:$D$507,"Personal",Data_Transactions!$E$8:$E$507,"Inflow",Data_Transactions!$C$8:$C$507,"&gt;="&amp;B15,Data_Transactions!$C$8:$C$507,"&lt;="&amp;C15)</f>
        <v>0</v>
      </c>
      <c r="I15" s="57" t="n">
        <f aca="false">SUMIFS(Data_Transactions!$H$8:$H$507,Data_Transactions!$D$8:$D$507,"Personal",Data_Transactions!$E$8:$E$507,"Outflow",Data_Transactions!$F$8:$F$507,"Survival Expenses",Data_Transactions!$C$8:$C$507,"&gt;="&amp;B15,Data_Transactions!$C$8:$C$507,"&lt;="&amp;C15)</f>
        <v>0</v>
      </c>
      <c r="J15" s="57" t="n">
        <f aca="false">SUMIFS(Data_Transactions!$H$8:$H$507,Data_Transactions!$D$8:$D$507,"Personal",Data_Transactions!$E$8:$E$507,"Outflow",Data_Transactions!$F$8:$F$507,"Discretionary Expenses",Data_Transactions!$C$8:$C$507,"&gt;="&amp;B15,Data_Transactions!$C$8:$C$507,"&lt;="&amp;C15)</f>
        <v>0</v>
      </c>
      <c r="K15" s="59" t="n">
        <f aca="false">H15-I15-J15</f>
        <v>0</v>
      </c>
      <c r="L15" s="60" t="n">
        <f aca="false">L14+G15</f>
        <v>25000</v>
      </c>
      <c r="M15" s="61" t="n">
        <f aca="false">IFERROR(SUMIFS(Data_Transactions!$H$8:$H$507,Data_Transactions!$D$8:$D$507,"Business",Data_Transactions!$E$8:$E$507,"Outflow",Data_Transactions!$C$8:$C$507,"&gt;="&amp;(C15-91),Data_Transactions!$C$8:$C$507,"&lt;="&amp;C15)/3,0)</f>
        <v>0</v>
      </c>
      <c r="N15" s="62" t="n">
        <f aca="false">IFERROR(L15/M15,0)</f>
        <v>0</v>
      </c>
      <c r="O15" s="63" t="str">
        <f aca="false">IF(F15=0,"N/A",IF(ABS(F15-(SUMIFS(Data_Transactions!$H$8:$H$507,Data_Transactions!$D$8:$D$507,"Personal",Data_Transactions!$E$8:$E$507,"Inflow",Data_Transactions!$G$8:$G$507,"Active Salary",Data_Transactions!$C$8:$C$507,"&gt;="&amp;(B15-3),Data_Transactions!$C$8:$C$507,"&lt;="&amp;(C15+3))))&gt;0.01,"⚠ MISMATCH","✓ OK"))</f>
        <v>N/A</v>
      </c>
      <c r="P15" s="1"/>
    </row>
    <row r="16" customFormat="false" ht="15.75" hidden="false" customHeight="true" outlineLevel="0" collapsed="false">
      <c r="A16" s="1"/>
      <c r="B16" s="46" t="n">
        <f aca="true">TODAY()-WEEKDAY(TODAY(),2)+1-21</f>
        <v>46153</v>
      </c>
      <c r="C16" s="46" t="n">
        <f aca="false">B16+6</f>
        <v>46159</v>
      </c>
      <c r="D16" s="47" t="n">
        <f aca="false">SUMIFS(Data_Transactions!$H$8:$H$507,Data_Transactions!$D$8:$D$507,"Business",Data_Transactions!$E$8:$E$507,"Inflow",Data_Transactions!$C$8:$C$507,"&gt;="&amp;B16,Data_Transactions!$C$8:$C$507,"&lt;="&amp;C16)</f>
        <v>0</v>
      </c>
      <c r="E16" s="48" t="n">
        <f aca="false">SUMIFS(Data_Transactions!$H$8:$H$507,Data_Transactions!$D$8:$D$507,"Business",Data_Transactions!$E$8:$E$507,"Outflow",Data_Transactions!$F$8:$F$507,"Business Operating Expense",Data_Transactions!$C$8:$C$507,"&gt;="&amp;B16,Data_Transactions!$C$8:$C$507,"&lt;="&amp;C16)</f>
        <v>0</v>
      </c>
      <c r="F16" s="49" t="n">
        <f aca="false">SUMIFS(Data_Transactions!$H$8:$H$507,Data_Transactions!$D$8:$D$507,"Business",Data_Transactions!$E$8:$E$507,"Outflow",Data_Transactions!$F$8:$F$507,"Owner's Draw",Data_Transactions!$C$8:$C$507,"&gt;="&amp;B16,Data_Transactions!$C$8:$C$507,"&lt;="&amp;C16)</f>
        <v>0</v>
      </c>
      <c r="G16" s="50" t="n">
        <f aca="false">D16-E16-F16</f>
        <v>0</v>
      </c>
      <c r="H16" s="47" t="n">
        <f aca="false">SUMIFS(Data_Transactions!$H$8:$H$507,Data_Transactions!$D$8:$D$507,"Personal",Data_Transactions!$E$8:$E$507,"Inflow",Data_Transactions!$C$8:$C$507,"&gt;="&amp;B16,Data_Transactions!$C$8:$C$507,"&lt;="&amp;C16)</f>
        <v>0</v>
      </c>
      <c r="I16" s="48" t="n">
        <f aca="false">SUMIFS(Data_Transactions!$H$8:$H$507,Data_Transactions!$D$8:$D$507,"Personal",Data_Transactions!$E$8:$E$507,"Outflow",Data_Transactions!$F$8:$F$507,"Survival Expenses",Data_Transactions!$C$8:$C$507,"&gt;="&amp;B16,Data_Transactions!$C$8:$C$507,"&lt;="&amp;C16)</f>
        <v>0</v>
      </c>
      <c r="J16" s="48" t="n">
        <f aca="false">SUMIFS(Data_Transactions!$H$8:$H$507,Data_Transactions!$D$8:$D$507,"Personal",Data_Transactions!$E$8:$E$507,"Outflow",Data_Transactions!$F$8:$F$507,"Discretionary Expenses",Data_Transactions!$C$8:$C$507,"&gt;="&amp;B16,Data_Transactions!$C$8:$C$507,"&lt;="&amp;C16)</f>
        <v>0</v>
      </c>
      <c r="K16" s="50" t="n">
        <f aca="false">H16-I16-J16</f>
        <v>0</v>
      </c>
      <c r="L16" s="51" t="n">
        <f aca="false">L15+G16</f>
        <v>25000</v>
      </c>
      <c r="M16" s="52" t="n">
        <f aca="false">IFERROR(SUMIFS(Data_Transactions!$H$8:$H$507,Data_Transactions!$D$8:$D$507,"Business",Data_Transactions!$E$8:$E$507,"Outflow",Data_Transactions!$C$8:$C$507,"&gt;="&amp;(C16-91),Data_Transactions!$C$8:$C$507,"&lt;="&amp;C16)/3,0)</f>
        <v>0</v>
      </c>
      <c r="N16" s="53" t="n">
        <f aca="false">IFERROR(L16/M16,0)</f>
        <v>0</v>
      </c>
      <c r="O16" s="54" t="str">
        <f aca="false">IF(F16=0,"N/A",IF(ABS(F16-(SUMIFS(Data_Transactions!$H$8:$H$507,Data_Transactions!$D$8:$D$507,"Personal",Data_Transactions!$E$8:$E$507,"Inflow",Data_Transactions!$G$8:$G$507,"Active Salary",Data_Transactions!$C$8:$C$507,"&gt;="&amp;(B16-3),Data_Transactions!$C$8:$C$507,"&lt;="&amp;(C16+3))))&gt;0.01,"⚠ MISMATCH","✓ OK"))</f>
        <v>N/A</v>
      </c>
      <c r="P16" s="1"/>
    </row>
    <row r="17" customFormat="false" ht="15.75" hidden="false" customHeight="true" outlineLevel="0" collapsed="false">
      <c r="A17" s="1"/>
      <c r="B17" s="55" t="n">
        <f aca="true">TODAY()-WEEKDAY(TODAY(),2)+1-14</f>
        <v>46160</v>
      </c>
      <c r="C17" s="55" t="n">
        <f aca="false">B17+6</f>
        <v>46166</v>
      </c>
      <c r="D17" s="56" t="n">
        <f aca="false">SUMIFS(Data_Transactions!$H$8:$H$507,Data_Transactions!$D$8:$D$507,"Business",Data_Transactions!$E$8:$E$507,"Inflow",Data_Transactions!$C$8:$C$507,"&gt;="&amp;B17,Data_Transactions!$C$8:$C$507,"&lt;="&amp;C17)</f>
        <v>0</v>
      </c>
      <c r="E17" s="57" t="n">
        <f aca="false">SUMIFS(Data_Transactions!$H$8:$H$507,Data_Transactions!$D$8:$D$507,"Business",Data_Transactions!$E$8:$E$507,"Outflow",Data_Transactions!$F$8:$F$507,"Business Operating Expense",Data_Transactions!$C$8:$C$507,"&gt;="&amp;B17,Data_Transactions!$C$8:$C$507,"&lt;="&amp;C17)</f>
        <v>0</v>
      </c>
      <c r="F17" s="58" t="n">
        <f aca="false">SUMIFS(Data_Transactions!$H$8:$H$507,Data_Transactions!$D$8:$D$507,"Business",Data_Transactions!$E$8:$E$507,"Outflow",Data_Transactions!$F$8:$F$507,"Owner's Draw",Data_Transactions!$C$8:$C$507,"&gt;="&amp;B17,Data_Transactions!$C$8:$C$507,"&lt;="&amp;C17)</f>
        <v>0</v>
      </c>
      <c r="G17" s="59" t="n">
        <f aca="false">D17-E17-F17</f>
        <v>0</v>
      </c>
      <c r="H17" s="56" t="n">
        <f aca="false">SUMIFS(Data_Transactions!$H$8:$H$507,Data_Transactions!$D$8:$D$507,"Personal",Data_Transactions!$E$8:$E$507,"Inflow",Data_Transactions!$C$8:$C$507,"&gt;="&amp;B17,Data_Transactions!$C$8:$C$507,"&lt;="&amp;C17)</f>
        <v>0</v>
      </c>
      <c r="I17" s="57" t="n">
        <f aca="false">SUMIFS(Data_Transactions!$H$8:$H$507,Data_Transactions!$D$8:$D$507,"Personal",Data_Transactions!$E$8:$E$507,"Outflow",Data_Transactions!$F$8:$F$507,"Survival Expenses",Data_Transactions!$C$8:$C$507,"&gt;="&amp;B17,Data_Transactions!$C$8:$C$507,"&lt;="&amp;C17)</f>
        <v>0</v>
      </c>
      <c r="J17" s="57" t="n">
        <f aca="false">SUMIFS(Data_Transactions!$H$8:$H$507,Data_Transactions!$D$8:$D$507,"Personal",Data_Transactions!$E$8:$E$507,"Outflow",Data_Transactions!$F$8:$F$507,"Discretionary Expenses",Data_Transactions!$C$8:$C$507,"&gt;="&amp;B17,Data_Transactions!$C$8:$C$507,"&lt;="&amp;C17)</f>
        <v>0</v>
      </c>
      <c r="K17" s="59" t="n">
        <f aca="false">H17-I17-J17</f>
        <v>0</v>
      </c>
      <c r="L17" s="60" t="n">
        <f aca="false">L16+G17</f>
        <v>25000</v>
      </c>
      <c r="M17" s="61" t="n">
        <f aca="false">IFERROR(SUMIFS(Data_Transactions!$H$8:$H$507,Data_Transactions!$D$8:$D$507,"Business",Data_Transactions!$E$8:$E$507,"Outflow",Data_Transactions!$C$8:$C$507,"&gt;="&amp;(C17-91),Data_Transactions!$C$8:$C$507,"&lt;="&amp;C17)/3,0)</f>
        <v>0</v>
      </c>
      <c r="N17" s="62" t="n">
        <f aca="false">IFERROR(L17/M17,0)</f>
        <v>0</v>
      </c>
      <c r="O17" s="63" t="str">
        <f aca="false">IF(F17=0,"N/A",IF(ABS(F17-(SUMIFS(Data_Transactions!$H$8:$H$507,Data_Transactions!$D$8:$D$507,"Personal",Data_Transactions!$E$8:$E$507,"Inflow",Data_Transactions!$G$8:$G$507,"Active Salary",Data_Transactions!$C$8:$C$507,"&gt;="&amp;(B17-3),Data_Transactions!$C$8:$C$507,"&lt;="&amp;(C17+3))))&gt;0.01,"⚠ MISMATCH","✓ OK"))</f>
        <v>N/A</v>
      </c>
      <c r="P17" s="1"/>
    </row>
    <row r="18" customFormat="false" ht="15.75" hidden="false" customHeight="true" outlineLevel="0" collapsed="false">
      <c r="A18" s="1"/>
      <c r="B18" s="46" t="n">
        <f aca="true">TODAY()-WEEKDAY(TODAY(),2)+1-7</f>
        <v>46167</v>
      </c>
      <c r="C18" s="46" t="n">
        <f aca="false">B18+6</f>
        <v>46173</v>
      </c>
      <c r="D18" s="47" t="n">
        <f aca="false">SUMIFS(Data_Transactions!$H$8:$H$507,Data_Transactions!$D$8:$D$507,"Business",Data_Transactions!$E$8:$E$507,"Inflow",Data_Transactions!$C$8:$C$507,"&gt;="&amp;B18,Data_Transactions!$C$8:$C$507,"&lt;="&amp;C18)</f>
        <v>2500</v>
      </c>
      <c r="E18" s="48" t="n">
        <f aca="false">SUMIFS(Data_Transactions!$H$8:$H$507,Data_Transactions!$D$8:$D$507,"Business",Data_Transactions!$E$8:$E$507,"Outflow",Data_Transactions!$F$8:$F$507,"Business Operating Expense",Data_Transactions!$C$8:$C$507,"&gt;="&amp;B18,Data_Transactions!$C$8:$C$507,"&lt;="&amp;C18)</f>
        <v>4000</v>
      </c>
      <c r="F18" s="49" t="n">
        <f aca="false">SUMIFS(Data_Transactions!$H$8:$H$507,Data_Transactions!$D$8:$D$507,"Business",Data_Transactions!$E$8:$E$507,"Outflow",Data_Transactions!$F$8:$F$507,"Owner's Draw",Data_Transactions!$C$8:$C$507,"&gt;="&amp;B18,Data_Transactions!$C$8:$C$507,"&lt;="&amp;C18)</f>
        <v>0</v>
      </c>
      <c r="G18" s="50" t="n">
        <f aca="false">D18-E18-F18</f>
        <v>-1500</v>
      </c>
      <c r="H18" s="47" t="n">
        <f aca="false">SUMIFS(Data_Transactions!$H$8:$H$507,Data_Transactions!$D$8:$D$507,"Personal",Data_Transactions!$E$8:$E$507,"Inflow",Data_Transactions!$C$8:$C$507,"&gt;="&amp;B18,Data_Transactions!$C$8:$C$507,"&lt;="&amp;C18)</f>
        <v>0</v>
      </c>
      <c r="I18" s="48" t="n">
        <f aca="false">SUMIFS(Data_Transactions!$H$8:$H$507,Data_Transactions!$D$8:$D$507,"Personal",Data_Transactions!$E$8:$E$507,"Outflow",Data_Transactions!$F$8:$F$507,"Survival Expenses",Data_Transactions!$C$8:$C$507,"&gt;="&amp;B18,Data_Transactions!$C$8:$C$507,"&lt;="&amp;C18)</f>
        <v>200</v>
      </c>
      <c r="J18" s="48" t="n">
        <f aca="false">SUMIFS(Data_Transactions!$H$8:$H$507,Data_Transactions!$D$8:$D$507,"Personal",Data_Transactions!$E$8:$E$507,"Outflow",Data_Transactions!$F$8:$F$507,"Discretionary Expenses",Data_Transactions!$C$8:$C$507,"&gt;="&amp;B18,Data_Transactions!$C$8:$C$507,"&lt;="&amp;C18)</f>
        <v>150</v>
      </c>
      <c r="K18" s="50" t="n">
        <f aca="false">H18-I18-J18</f>
        <v>-350</v>
      </c>
      <c r="L18" s="51" t="n">
        <f aca="false">L17+G18</f>
        <v>23500</v>
      </c>
      <c r="M18" s="52" t="n">
        <f aca="false">IFERROR(SUMIFS(Data_Transactions!$H$8:$H$507,Data_Transactions!$D$8:$D$507,"Business",Data_Transactions!$E$8:$E$507,"Outflow",Data_Transactions!$C$8:$C$507,"&gt;="&amp;(C18-91),Data_Transactions!$C$8:$C$507,"&lt;="&amp;C18)/3,0)</f>
        <v>1333.33333333333</v>
      </c>
      <c r="N18" s="53" t="n">
        <f aca="false">IFERROR(L18/M18,0)</f>
        <v>17.625</v>
      </c>
      <c r="O18" s="54" t="str">
        <f aca="false">IF(F18=0,"N/A",IF(ABS(F18-(SUMIFS(Data_Transactions!$H$8:$H$507,Data_Transactions!$D$8:$D$507,"Personal",Data_Transactions!$E$8:$E$507,"Inflow",Data_Transactions!$G$8:$G$507,"Active Salary",Data_Transactions!$C$8:$C$507,"&gt;="&amp;(B18-3),Data_Transactions!$C$8:$C$507,"&lt;="&amp;(C18+3))))&gt;0.01,"⚠ MISMATCH","✓ OK"))</f>
        <v>N/A</v>
      </c>
      <c r="P18" s="1"/>
    </row>
    <row r="19" customFormat="false" ht="15.75" hidden="false" customHeight="true" outlineLevel="0" collapsed="false">
      <c r="A19" s="1"/>
      <c r="B19" s="64" t="n">
        <f aca="true">TODAY()-WEEKDAY(TODAY(),2)+1</f>
        <v>46174</v>
      </c>
      <c r="C19" s="64" t="n">
        <f aca="false">B19+6</f>
        <v>46180</v>
      </c>
      <c r="D19" s="65" t="n">
        <f aca="false">SUMIFS(Data_Transactions!$H$8:$H$507,Data_Transactions!$D$8:$D$507,"Business",Data_Transactions!$E$8:$E$507,"Inflow",Data_Transactions!$C$8:$C$507,"&gt;="&amp;B19,Data_Transactions!$C$8:$C$507,"&lt;="&amp;C19)</f>
        <v>5000</v>
      </c>
      <c r="E19" s="66" t="n">
        <f aca="false">SUMIFS(Data_Transactions!$H$8:$H$507,Data_Transactions!$D$8:$D$507,"Business",Data_Transactions!$E$8:$E$507,"Outflow",Data_Transactions!$F$8:$F$507,"Business Operating Expense",Data_Transactions!$C$8:$C$507,"&gt;="&amp;B19,Data_Transactions!$C$8:$C$507,"&lt;="&amp;C19)</f>
        <v>950</v>
      </c>
      <c r="F19" s="67" t="n">
        <f aca="false">SUMIFS(Data_Transactions!$H$8:$H$507,Data_Transactions!$D$8:$D$507,"Business",Data_Transactions!$E$8:$E$507,"Outflow",Data_Transactions!$F$8:$F$507,"Owner's Draw",Data_Transactions!$C$8:$C$507,"&gt;="&amp;B19,Data_Transactions!$C$8:$C$507,"&lt;="&amp;C19)</f>
        <v>3000</v>
      </c>
      <c r="G19" s="68" t="n">
        <f aca="false">D19-E19-F19</f>
        <v>1050</v>
      </c>
      <c r="H19" s="65" t="n">
        <f aca="false">SUMIFS(Data_Transactions!$H$8:$H$507,Data_Transactions!$D$8:$D$507,"Personal",Data_Transactions!$E$8:$E$507,"Inflow",Data_Transactions!$C$8:$C$507,"&gt;="&amp;B19,Data_Transactions!$C$8:$C$507,"&lt;="&amp;C19)</f>
        <v>3000</v>
      </c>
      <c r="I19" s="66" t="n">
        <f aca="false">SUMIFS(Data_Transactions!$H$8:$H$507,Data_Transactions!$D$8:$D$507,"Personal",Data_Transactions!$E$8:$E$507,"Outflow",Data_Transactions!$F$8:$F$507,"Survival Expenses",Data_Transactions!$C$8:$C$507,"&gt;="&amp;B19,Data_Transactions!$C$8:$C$507,"&lt;="&amp;C19)</f>
        <v>1500</v>
      </c>
      <c r="J19" s="66" t="n">
        <f aca="false">SUMIFS(Data_Transactions!$H$8:$H$507,Data_Transactions!$D$8:$D$507,"Personal",Data_Transactions!$E$8:$E$507,"Outflow",Data_Transactions!$F$8:$F$507,"Discretionary Expenses",Data_Transactions!$C$8:$C$507,"&gt;="&amp;B19,Data_Transactions!$C$8:$C$507,"&lt;="&amp;C19)</f>
        <v>130</v>
      </c>
      <c r="K19" s="68" t="n">
        <f aca="false">H19-I19-J19</f>
        <v>1370</v>
      </c>
      <c r="L19" s="69" t="n">
        <f aca="false">L18+G19</f>
        <v>24550</v>
      </c>
      <c r="M19" s="70" t="n">
        <f aca="false">IFERROR(SUMIFS(Data_Transactions!$H$8:$H$507,Data_Transactions!$D$8:$D$507,"Business",Data_Transactions!$E$8:$E$507,"Outflow",Data_Transactions!$C$8:$C$507,"&gt;="&amp;(C19-91),Data_Transactions!$C$8:$C$507,"&lt;="&amp;C19)/3,0)</f>
        <v>2650</v>
      </c>
      <c r="N19" s="71" t="n">
        <f aca="false">IFERROR(L19/M19,0)</f>
        <v>9.26415094339623</v>
      </c>
      <c r="O19" s="72" t="str">
        <f aca="false">IF(F19=0,"N/A",IF(ABS(F19-(SUMIFS(Data_Transactions!$H$8:$H$507,Data_Transactions!$D$8:$D$507,"Personal",Data_Transactions!$E$8:$E$507,"Inflow",Data_Transactions!$G$8:$G$507,"Active Salary",Data_Transactions!$C$8:$C$507,"&gt;="&amp;(B19-3),Data_Transactions!$C$8:$C$507,"&lt;="&amp;(C19+3))))&gt;0.01,"⚠ MISMATCH","✓ OK"))</f>
        <v>✓ OK</v>
      </c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3.5" hidden="false" customHeight="true" outlineLevel="0" collapsed="false">
      <c r="A21" s="1"/>
      <c r="B21" s="73" t="s">
        <v>109</v>
      </c>
      <c r="C21" s="74" t="s">
        <v>110</v>
      </c>
      <c r="D21" s="75" t="s">
        <v>111</v>
      </c>
      <c r="E21" s="76" t="s">
        <v>112</v>
      </c>
      <c r="F21" s="77" t="s">
        <v>113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51FF"/>
    <pageSetUpPr fitToPage="false"/>
  </sheetPr>
  <dimension ref="A1:V6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3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3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/>
      <c r="B2" s="4" t="s">
        <v>0</v>
      </c>
      <c r="C2" s="2"/>
      <c r="D2" s="2"/>
      <c r="E2" s="2"/>
      <c r="F2" s="4" t="s">
        <v>1</v>
      </c>
      <c r="G2" s="2"/>
      <c r="H2" s="2"/>
      <c r="I2" s="2"/>
      <c r="J2" s="4" t="s">
        <v>2</v>
      </c>
      <c r="K2" s="2"/>
      <c r="L2" s="2"/>
      <c r="M2" s="2"/>
      <c r="N2" s="3" t="s">
        <v>3</v>
      </c>
      <c r="O2" s="2"/>
      <c r="P2" s="2"/>
      <c r="Q2" s="2"/>
      <c r="R2" s="2"/>
      <c r="S2" s="2"/>
      <c r="T2" s="2"/>
      <c r="U2" s="2"/>
      <c r="V2" s="2"/>
    </row>
    <row r="3" customFormat="false" ht="4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5"/>
      <c r="P3" s="5"/>
      <c r="Q3" s="5"/>
      <c r="R3" s="2"/>
      <c r="S3" s="2"/>
      <c r="T3" s="2"/>
      <c r="U3" s="2"/>
      <c r="V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27.75" hidden="false" customHeight="true" outlineLevel="0" collapsed="false">
      <c r="A5" s="1"/>
      <c r="B5" s="34" t="s">
        <v>114</v>
      </c>
      <c r="C5" s="1"/>
      <c r="D5" s="1"/>
      <c r="E5" s="1"/>
      <c r="F5" s="1"/>
      <c r="G5" s="1"/>
      <c r="H5" s="78" t="s">
        <v>115</v>
      </c>
      <c r="I5" s="1"/>
      <c r="J5" s="1"/>
      <c r="K5" s="1"/>
      <c r="L5" s="1"/>
      <c r="M5" s="1"/>
      <c r="N5" s="1"/>
      <c r="O5" s="1"/>
    </row>
    <row r="6" customFormat="false" ht="7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21.75" hidden="false" customHeight="true" outlineLevel="0" collapsed="false">
      <c r="A7" s="1"/>
      <c r="B7" s="4" t="s">
        <v>116</v>
      </c>
      <c r="C7" s="2"/>
      <c r="D7" s="2"/>
      <c r="E7" s="2"/>
      <c r="F7" s="2"/>
      <c r="G7" s="2"/>
      <c r="H7" s="1"/>
      <c r="I7" s="4" t="s">
        <v>117</v>
      </c>
      <c r="J7" s="2"/>
      <c r="K7" s="2"/>
      <c r="L7" s="2"/>
      <c r="M7" s="2"/>
      <c r="N7" s="2"/>
      <c r="O7" s="1"/>
    </row>
    <row r="8" customFormat="false" ht="7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3.5" hidden="false" customHeight="true" outlineLevel="0" collapsed="false">
      <c r="A9" s="79"/>
      <c r="B9" s="9" t="s">
        <v>118</v>
      </c>
      <c r="C9" s="1"/>
      <c r="D9" s="1"/>
      <c r="E9" s="1"/>
      <c r="F9" s="1"/>
      <c r="G9" s="1"/>
      <c r="H9" s="79"/>
      <c r="I9" s="9" t="s">
        <v>119</v>
      </c>
      <c r="J9" s="1"/>
      <c r="K9" s="1"/>
      <c r="L9" s="1"/>
      <c r="M9" s="1"/>
      <c r="N9" s="1"/>
      <c r="O9" s="1"/>
    </row>
    <row r="10" customFormat="false" ht="30" hidden="false" customHeight="true" outlineLevel="0" collapsed="false">
      <c r="A10" s="79"/>
      <c r="B10" s="80" t="str">
        <f aca="true">TEXT(TODAY(),"YYYY-MM-DD")</f>
        <v>2026-06-06</v>
      </c>
      <c r="C10" s="16"/>
      <c r="D10" s="16"/>
      <c r="E10" s="16"/>
      <c r="F10" s="16"/>
      <c r="G10" s="1"/>
      <c r="H10" s="79"/>
      <c r="I10" s="81" t="n">
        <f aca="false">IFERROR(Config_Setup!$C$49,0)</f>
        <v>300</v>
      </c>
      <c r="J10" s="16"/>
      <c r="K10" s="16"/>
      <c r="L10" s="16"/>
      <c r="M10" s="16"/>
      <c r="N10" s="1"/>
      <c r="O10" s="1"/>
    </row>
    <row r="11" customFormat="false" ht="6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3.5" hidden="false" customHeight="true" outlineLevel="0" collapsed="false">
      <c r="A12" s="79"/>
      <c r="B12" s="9" t="s">
        <v>120</v>
      </c>
      <c r="C12" s="1"/>
      <c r="D12" s="1"/>
      <c r="E12" s="1"/>
      <c r="F12" s="1"/>
      <c r="G12" s="1"/>
      <c r="H12" s="79"/>
      <c r="I12" s="9" t="s">
        <v>121</v>
      </c>
      <c r="J12" s="1"/>
      <c r="K12" s="1"/>
      <c r="L12" s="1"/>
      <c r="M12" s="1"/>
      <c r="N12" s="1"/>
      <c r="O12" s="1"/>
    </row>
    <row r="13" customFormat="false" ht="30" hidden="false" customHeight="true" outlineLevel="0" collapsed="false">
      <c r="A13" s="79"/>
      <c r="B13" s="82" t="n">
        <f aca="false">IFERROR(Calc_Engine!$N$19,0)</f>
        <v>9.26415094339623</v>
      </c>
      <c r="C13" s="16"/>
      <c r="D13" s="16"/>
      <c r="E13" s="16"/>
      <c r="F13" s="16"/>
      <c r="G13" s="1"/>
      <c r="H13" s="79"/>
      <c r="I13" s="81" t="n">
        <f aca="false">IFERROR(SUMIFS(Data_Transactions!$H$8:$H$507,Data_Transactions!$D$8:$D$507,"Personal",Data_Transactions!$E$8:$E$507,"Outflow",Data_Transactions!$F$8:$F$507,"Discretionary Expenses",Data_Transactions!$C$8:$C$507,"&gt;="&amp;Calc_Engine!$B$19,Data_Transactions!$C$8:$C$507,"&lt;="&amp;Calc_Engine!$C$19),0)</f>
        <v>130</v>
      </c>
      <c r="J13" s="16"/>
      <c r="K13" s="16"/>
      <c r="L13" s="16"/>
      <c r="M13" s="16"/>
      <c r="N13" s="1"/>
      <c r="O13" s="1"/>
    </row>
    <row r="14" customFormat="false" ht="6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3.5" hidden="false" customHeight="true" outlineLevel="0" collapsed="false">
      <c r="A15" s="79"/>
      <c r="B15" s="9" t="s">
        <v>122</v>
      </c>
      <c r="C15" s="1"/>
      <c r="D15" s="1"/>
      <c r="E15" s="1"/>
      <c r="F15" s="1"/>
      <c r="G15" s="1"/>
      <c r="H15" s="79"/>
      <c r="I15" s="9" t="s">
        <v>123</v>
      </c>
      <c r="J15" s="1"/>
      <c r="K15" s="1"/>
      <c r="L15" s="1"/>
      <c r="M15" s="1"/>
      <c r="N15" s="1"/>
      <c r="O15" s="1"/>
    </row>
    <row r="16" customFormat="false" ht="30" hidden="false" customHeight="true" outlineLevel="0" collapsed="false">
      <c r="A16" s="79"/>
      <c r="B16" s="83" t="str">
        <f aca="false">IF(IFERROR(Calc_Engine!$N$19,0)&gt;=3,"SAFE",IF(IFERROR(Calc_Engine!$N$19,0)&gt;=1.5,"WARNING","CRITICAL"))</f>
        <v>SAFE</v>
      </c>
      <c r="C16" s="16"/>
      <c r="D16" s="16"/>
      <c r="E16" s="16"/>
      <c r="F16" s="16"/>
      <c r="G16" s="1"/>
      <c r="H16" s="79"/>
      <c r="I16" s="81" t="n">
        <f aca="false">I10-I13</f>
        <v>170</v>
      </c>
      <c r="J16" s="16"/>
      <c r="K16" s="16"/>
      <c r="L16" s="16"/>
      <c r="M16" s="16"/>
      <c r="N16" s="1"/>
      <c r="O16" s="1"/>
    </row>
    <row r="17" customFormat="false" ht="6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3.5" hidden="false" customHeight="true" outlineLevel="0" collapsed="false">
      <c r="A18" s="79"/>
      <c r="B18" s="9" t="s">
        <v>124</v>
      </c>
      <c r="C18" s="1"/>
      <c r="D18" s="1"/>
      <c r="E18" s="1"/>
      <c r="F18" s="1"/>
      <c r="G18" s="1"/>
      <c r="H18" s="79"/>
      <c r="I18" s="9" t="s">
        <v>125</v>
      </c>
      <c r="J18" s="1"/>
      <c r="K18" s="1"/>
      <c r="L18" s="1"/>
      <c r="M18" s="1"/>
      <c r="N18" s="1"/>
      <c r="O18" s="1"/>
    </row>
    <row r="19" customFormat="false" ht="30" hidden="false" customHeight="true" outlineLevel="0" collapsed="false">
      <c r="A19" s="79"/>
      <c r="B19" s="81" t="n">
        <f aca="false">IFERROR(Calc_Engine!$G$19,0)</f>
        <v>1050</v>
      </c>
      <c r="C19" s="16"/>
      <c r="D19" s="16"/>
      <c r="E19" s="16"/>
      <c r="F19" s="16"/>
      <c r="G19" s="1"/>
      <c r="H19" s="79"/>
      <c r="I19" s="83" t="str">
        <f aca="false">IF(AND(IFERROR(Calc_Engine!$N$19,0)&gt;=3,IFERROR(I13/I10,1)&lt;0.85),"GREEN LIGHT",IF(OR(AND(IFERROR(Calc_Engine!$N$19,0)&gt;=1.5,IFERROR(Calc_Engine!$N$19,0)&lt;3),AND(IFERROR(I13/I10,1)&gt;=0.85,IFERROR(I13/I10,1)&lt;=1)),"YELLOW LIGHT","RED LIGHT"))</f>
        <v>GREEN LIGHT</v>
      </c>
      <c r="J19" s="16"/>
      <c r="K19" s="16"/>
      <c r="L19" s="16"/>
      <c r="M19" s="16"/>
      <c r="N19" s="1"/>
      <c r="O19" s="1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3.5" hidden="false" customHeight="true" outlineLevel="0" collapsed="false">
      <c r="A21" s="79"/>
      <c r="B21" s="9" t="s">
        <v>126</v>
      </c>
      <c r="C21" s="1"/>
      <c r="D21" s="1"/>
      <c r="E21" s="1"/>
      <c r="F21" s="1"/>
      <c r="G21" s="1"/>
      <c r="H21" s="79"/>
      <c r="I21" s="9" t="s">
        <v>127</v>
      </c>
      <c r="J21" s="1"/>
      <c r="K21" s="1"/>
      <c r="L21" s="1"/>
      <c r="M21" s="1"/>
      <c r="N21" s="1"/>
      <c r="O21" s="1"/>
    </row>
    <row r="22" customFormat="false" ht="30" hidden="false" customHeight="true" outlineLevel="0" collapsed="false">
      <c r="A22" s="79"/>
      <c r="B22" s="81" t="n">
        <f aca="false">IFERROR(Calc_Engine!$L$19,0)</f>
        <v>24550</v>
      </c>
      <c r="C22" s="16"/>
      <c r="D22" s="16"/>
      <c r="E22" s="16"/>
      <c r="F22" s="16"/>
      <c r="G22" s="1"/>
      <c r="H22" s="79"/>
      <c r="I22" s="81" t="n">
        <f aca="false">IFERROR(Calc_Engine!$K$19,0)</f>
        <v>1370</v>
      </c>
      <c r="J22" s="16"/>
      <c r="K22" s="16"/>
      <c r="L22" s="16"/>
      <c r="M22" s="16"/>
      <c r="N22" s="1"/>
      <c r="O22" s="1"/>
    </row>
    <row r="23" customFormat="false" ht="6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3.5" hidden="false" customHeight="true" outlineLevel="0" collapsed="false">
      <c r="A24" s="79"/>
      <c r="B24" s="9" t="s">
        <v>128</v>
      </c>
      <c r="C24" s="1"/>
      <c r="D24" s="1"/>
      <c r="E24" s="1"/>
      <c r="F24" s="1"/>
      <c r="G24" s="1"/>
      <c r="H24" s="79"/>
      <c r="I24" s="9" t="s">
        <v>129</v>
      </c>
      <c r="J24" s="1"/>
      <c r="K24" s="1"/>
      <c r="L24" s="1"/>
      <c r="M24" s="1"/>
      <c r="N24" s="1"/>
      <c r="O24" s="1"/>
    </row>
    <row r="25" customFormat="false" ht="30" hidden="false" customHeight="true" outlineLevel="0" collapsed="false">
      <c r="A25" s="79"/>
      <c r="B25" s="81" t="n">
        <f aca="false">IFERROR(Calc_Engine!$M$19,0)</f>
        <v>2650</v>
      </c>
      <c r="C25" s="16"/>
      <c r="D25" s="16"/>
      <c r="E25" s="16"/>
      <c r="F25" s="16"/>
      <c r="G25" s="1"/>
      <c r="H25" s="79"/>
      <c r="I25" s="84" t="n">
        <f aca="false">COUNTIF(Data_Transactions!$J$8:$J$507,"Pending")</f>
        <v>1</v>
      </c>
      <c r="J25" s="16"/>
      <c r="K25" s="16"/>
      <c r="L25" s="16"/>
      <c r="M25" s="16"/>
      <c r="N25" s="1"/>
      <c r="O25" s="1"/>
    </row>
    <row r="26" customFormat="false" ht="9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21.75" hidden="false" customHeight="true" outlineLevel="0" collapsed="false">
      <c r="A27" s="1"/>
      <c r="B27" s="85" t="s">
        <v>130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1"/>
    </row>
    <row r="28" customFormat="false" ht="13.5" hidden="false" customHeight="true" outlineLevel="0" collapsed="false">
      <c r="A28" s="1"/>
      <c r="B28" s="9" t="s">
        <v>131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21.75" hidden="false" customHeight="true" outlineLevel="0" collapsed="false">
      <c r="A29" s="1"/>
      <c r="B29" s="10" t="s">
        <v>71</v>
      </c>
      <c r="C29" s="10" t="s">
        <v>72</v>
      </c>
      <c r="D29" s="10" t="s">
        <v>73</v>
      </c>
      <c r="E29" s="10" t="s">
        <v>74</v>
      </c>
      <c r="F29" s="10" t="s">
        <v>75</v>
      </c>
      <c r="G29" s="10" t="s">
        <v>76</v>
      </c>
      <c r="H29" s="10" t="s">
        <v>77</v>
      </c>
      <c r="I29" s="10" t="s">
        <v>78</v>
      </c>
      <c r="J29" s="10" t="s">
        <v>38</v>
      </c>
      <c r="K29" s="10" t="s">
        <v>132</v>
      </c>
      <c r="L29" s="10" t="s">
        <v>80</v>
      </c>
      <c r="M29" s="1"/>
      <c r="N29" s="1"/>
      <c r="O29" s="1"/>
    </row>
    <row r="30" customFormat="false" ht="12" hidden="false" customHeight="true" outlineLevel="0" collapsed="false">
      <c r="A30" s="1"/>
      <c r="B30" s="87" t="s">
        <v>133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/>
      <c r="B31" s="17" t="str">
        <f aca="false">IFERROR(filter(Data_Transactions!$B$8:$L$507,Data_Transactions!$J$8:$J$507="Pending","✓  No pending items — ledger is fully reconciled"),"FILTER function requires Excel 365 or Excel 2019+")</f>
        <v>FILTER function requires Excel 365 or Excel 2019+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1"/>
      <c r="N31" s="1"/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</sheetData>
  <conditionalFormatting sqref="B16:F16">
    <cfRule type="expression" priority="2" aboveAverage="0" equalAverage="0" bottom="0" percent="0" rank="0" text="" dxfId="0">
      <formula>$B$16="SAFE"</formula>
    </cfRule>
    <cfRule type="expression" priority="3" aboveAverage="0" equalAverage="0" bottom="0" percent="0" rank="0" text="" dxfId="1">
      <formula>$B$16="WARNING"</formula>
    </cfRule>
    <cfRule type="expression" priority="4" aboveAverage="0" equalAverage="0" bottom="0" percent="0" rank="0" text="" dxfId="2">
      <formula>$B$16="CRITICAL"</formula>
    </cfRule>
  </conditionalFormatting>
  <conditionalFormatting sqref="I19:M19">
    <cfRule type="expression" priority="5" aboveAverage="0" equalAverage="0" bottom="0" percent="0" rank="0" text="" dxfId="0">
      <formula>$I$19="GREEN LIGHT"</formula>
    </cfRule>
    <cfRule type="expression" priority="6" aboveAverage="0" equalAverage="0" bottom="0" percent="0" rank="0" text="" dxfId="1">
      <formula>$I$19="YELLOW LIGHT"</formula>
    </cfRule>
    <cfRule type="expression" priority="7" aboveAverage="0" equalAverage="0" bottom="0" percent="0" rank="0" text="" dxfId="2">
      <formula>$I$19="RED LIGHT"</formula>
    </cfRule>
  </conditionalFormatting>
  <conditionalFormatting sqref="B19:F19">
    <cfRule type="expression" priority="8" aboveAverage="0" equalAverage="0" bottom="0" percent="0" rank="0" text="" dxfId="3">
      <formula>$B$19&gt;0</formula>
    </cfRule>
    <cfRule type="expression" priority="9" aboveAverage="0" equalAverage="0" bottom="0" percent="0" rank="0" text="" dxfId="4">
      <formula>$B$19&lt;0</formula>
    </cfRule>
  </conditionalFormatting>
  <conditionalFormatting sqref="I16:M16">
    <cfRule type="expression" priority="10" aboveAverage="0" equalAverage="0" bottom="0" percent="0" rank="0" text="" dxfId="4">
      <formula>$I$16&lt;0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2026-06-06T14:49:56Z</dcterms:created>
  <dc:creator>openpyxl</dc:creator>
  <dc:description/>
  <dc:language>en-US</dc:language>
  <cp:lastModifiedBy/>
  <dcterms:modified xsi:type="dcterms:W3CDTF">2026-06-06T14:49:57Z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
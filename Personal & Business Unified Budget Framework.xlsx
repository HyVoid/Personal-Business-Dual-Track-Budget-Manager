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ongy\Downloads\"/>
    </mc:Choice>
  </mc:AlternateContent>
  <xr:revisionPtr revIDLastSave="0" documentId="13_ncr:20001_{3DB05047-56D2-4492-A64F-5B8E591BD7BD}" xr6:coauthVersionLast="47" xr6:coauthVersionMax="47" xr10:uidLastSave="{00000000-0000-0000-0000-000000000000}"/>
  <bookViews>
    <workbookView xWindow="43080" yWindow="-120" windowWidth="29040" windowHeight="15720" tabRatio="500" activeTab="3" xr2:uid="{00000000-000D-0000-FFFF-FFFF00000000}"/>
  </bookViews>
  <sheets>
    <sheet name="Config_Setup" sheetId="1" r:id="rId1"/>
    <sheet name="Data_Transactions" sheetId="2" r:id="rId2"/>
    <sheet name="Calc_Engine" sheetId="3" r:id="rId3"/>
    <sheet name="Dashboard_Pulse" sheetId="4" r:id="rId4"/>
  </sheets>
  <definedNames>
    <definedName name="rng_Categories">Config_Setup!$G$9:$G$15</definedName>
    <definedName name="rng_Entities">Config_Setup!$C$9:$C$11</definedName>
    <definedName name="rng_Status">Config_Setup!$B$20:$B$21</definedName>
    <definedName name="rng_SubCategories">Config_Setup!$H$9:$H$28</definedName>
    <definedName name="rng_TxTypes">Config_Setup!$B$15:$B$16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5" i="4" l="1"/>
  <c r="I10" i="4"/>
  <c r="B10" i="4"/>
  <c r="B19" i="3"/>
  <c r="B18" i="3"/>
  <c r="B17" i="3"/>
  <c r="B16" i="3"/>
  <c r="B15" i="3"/>
  <c r="B14" i="3"/>
  <c r="B13" i="3"/>
  <c r="B12" i="3"/>
  <c r="B11" i="3"/>
  <c r="B10" i="3"/>
  <c r="B9" i="3"/>
  <c r="B8" i="3"/>
  <c r="C8" i="3" s="1"/>
  <c r="K107" i="2"/>
  <c r="B107" i="2"/>
  <c r="K106" i="2"/>
  <c r="B106" i="2"/>
  <c r="K105" i="2"/>
  <c r="B105" i="2"/>
  <c r="K104" i="2"/>
  <c r="B104" i="2"/>
  <c r="K103" i="2"/>
  <c r="B103" i="2"/>
  <c r="K102" i="2"/>
  <c r="B102" i="2"/>
  <c r="K101" i="2"/>
  <c r="B101" i="2"/>
  <c r="K100" i="2"/>
  <c r="B100" i="2"/>
  <c r="K99" i="2"/>
  <c r="B99" i="2"/>
  <c r="K98" i="2"/>
  <c r="B98" i="2"/>
  <c r="K97" i="2"/>
  <c r="B97" i="2"/>
  <c r="K96" i="2"/>
  <c r="B96" i="2"/>
  <c r="K95" i="2"/>
  <c r="B95" i="2"/>
  <c r="K94" i="2"/>
  <c r="B94" i="2"/>
  <c r="K93" i="2"/>
  <c r="B93" i="2"/>
  <c r="K92" i="2"/>
  <c r="B92" i="2"/>
  <c r="K91" i="2"/>
  <c r="B91" i="2"/>
  <c r="K90" i="2"/>
  <c r="B90" i="2"/>
  <c r="K89" i="2"/>
  <c r="B89" i="2"/>
  <c r="K88" i="2"/>
  <c r="B88" i="2"/>
  <c r="K87" i="2"/>
  <c r="B87" i="2"/>
  <c r="K86" i="2"/>
  <c r="B86" i="2"/>
  <c r="K85" i="2"/>
  <c r="B85" i="2"/>
  <c r="K84" i="2"/>
  <c r="B84" i="2"/>
  <c r="K83" i="2"/>
  <c r="B83" i="2"/>
  <c r="K82" i="2"/>
  <c r="B82" i="2"/>
  <c r="K81" i="2"/>
  <c r="B81" i="2"/>
  <c r="K80" i="2"/>
  <c r="B80" i="2"/>
  <c r="K79" i="2"/>
  <c r="B79" i="2"/>
  <c r="K78" i="2"/>
  <c r="B78" i="2"/>
  <c r="K77" i="2"/>
  <c r="B77" i="2"/>
  <c r="K76" i="2"/>
  <c r="B76" i="2"/>
  <c r="K75" i="2"/>
  <c r="B75" i="2"/>
  <c r="K74" i="2"/>
  <c r="B74" i="2"/>
  <c r="K73" i="2"/>
  <c r="B73" i="2"/>
  <c r="K72" i="2"/>
  <c r="B72" i="2"/>
  <c r="K71" i="2"/>
  <c r="B71" i="2"/>
  <c r="K70" i="2"/>
  <c r="B70" i="2"/>
  <c r="K69" i="2"/>
  <c r="B69" i="2"/>
  <c r="K68" i="2"/>
  <c r="B68" i="2"/>
  <c r="K67" i="2"/>
  <c r="B67" i="2"/>
  <c r="K66" i="2"/>
  <c r="B66" i="2"/>
  <c r="K65" i="2"/>
  <c r="B65" i="2"/>
  <c r="K64" i="2"/>
  <c r="B64" i="2"/>
  <c r="K63" i="2"/>
  <c r="B63" i="2"/>
  <c r="K62" i="2"/>
  <c r="B62" i="2"/>
  <c r="K61" i="2"/>
  <c r="B61" i="2"/>
  <c r="K60" i="2"/>
  <c r="B60" i="2"/>
  <c r="K59" i="2"/>
  <c r="B59" i="2"/>
  <c r="K58" i="2"/>
  <c r="B58" i="2"/>
  <c r="K57" i="2"/>
  <c r="B57" i="2"/>
  <c r="K56" i="2"/>
  <c r="B56" i="2"/>
  <c r="K55" i="2"/>
  <c r="B55" i="2"/>
  <c r="K54" i="2"/>
  <c r="B54" i="2"/>
  <c r="K53" i="2"/>
  <c r="B53" i="2"/>
  <c r="K52" i="2"/>
  <c r="B52" i="2"/>
  <c r="K51" i="2"/>
  <c r="B51" i="2"/>
  <c r="K50" i="2"/>
  <c r="B50" i="2"/>
  <c r="K49" i="2"/>
  <c r="B49" i="2"/>
  <c r="K48" i="2"/>
  <c r="B48" i="2"/>
  <c r="K47" i="2"/>
  <c r="B47" i="2"/>
  <c r="K46" i="2"/>
  <c r="B46" i="2"/>
  <c r="K45" i="2"/>
  <c r="B45" i="2"/>
  <c r="K44" i="2"/>
  <c r="B44" i="2"/>
  <c r="K43" i="2"/>
  <c r="B43" i="2"/>
  <c r="K42" i="2"/>
  <c r="B42" i="2"/>
  <c r="K41" i="2"/>
  <c r="B41" i="2"/>
  <c r="K40" i="2"/>
  <c r="B40" i="2"/>
  <c r="K39" i="2"/>
  <c r="B39" i="2"/>
  <c r="K38" i="2"/>
  <c r="B38" i="2"/>
  <c r="K37" i="2"/>
  <c r="B37" i="2"/>
  <c r="K36" i="2"/>
  <c r="B36" i="2"/>
  <c r="K35" i="2"/>
  <c r="B35" i="2"/>
  <c r="K34" i="2"/>
  <c r="B34" i="2"/>
  <c r="K33" i="2"/>
  <c r="B33" i="2"/>
  <c r="K32" i="2"/>
  <c r="B32" i="2"/>
  <c r="K31" i="2"/>
  <c r="B31" i="2"/>
  <c r="K30" i="2"/>
  <c r="B30" i="2"/>
  <c r="K29" i="2"/>
  <c r="B29" i="2"/>
  <c r="K28" i="2"/>
  <c r="B28" i="2"/>
  <c r="K27" i="2"/>
  <c r="B27" i="2"/>
  <c r="K26" i="2"/>
  <c r="B26" i="2"/>
  <c r="K25" i="2"/>
  <c r="B25" i="2"/>
  <c r="K24" i="2"/>
  <c r="B24" i="2"/>
  <c r="K23" i="2"/>
  <c r="B23" i="2"/>
  <c r="K22" i="2"/>
  <c r="B22" i="2"/>
  <c r="K21" i="2"/>
  <c r="B21" i="2"/>
  <c r="K20" i="2"/>
  <c r="B20" i="2"/>
  <c r="K19" i="2"/>
  <c r="B19" i="2"/>
  <c r="K18" i="2"/>
  <c r="B18" i="2"/>
  <c r="K17" i="2"/>
  <c r="B17" i="2"/>
  <c r="K16" i="2"/>
  <c r="B16" i="2"/>
  <c r="K15" i="2"/>
  <c r="B15" i="2"/>
  <c r="K14" i="2"/>
  <c r="B14" i="2"/>
  <c r="K13" i="2"/>
  <c r="B13" i="2"/>
  <c r="K12" i="2"/>
  <c r="B12" i="2"/>
  <c r="K11" i="2"/>
  <c r="B11" i="2"/>
  <c r="K10" i="2"/>
  <c r="B10" i="2"/>
  <c r="K9" i="2"/>
  <c r="B9" i="2"/>
  <c r="K8" i="2"/>
  <c r="B8" i="2"/>
  <c r="M8" i="3" l="1"/>
  <c r="D8" i="3"/>
  <c r="F8" i="3"/>
  <c r="O8" i="3" s="1"/>
  <c r="C14" i="3"/>
  <c r="M14" i="3" s="1"/>
  <c r="E8" i="3"/>
  <c r="C15" i="3"/>
  <c r="M15" i="3" s="1"/>
  <c r="H8" i="3"/>
  <c r="I8" i="3"/>
  <c r="C13" i="3"/>
  <c r="M13" i="3" s="1"/>
  <c r="J8" i="3"/>
  <c r="C12" i="3"/>
  <c r="H12" i="3" s="1"/>
  <c r="C11" i="3"/>
  <c r="F11" i="3" s="1"/>
  <c r="O11" i="3" s="1"/>
  <c r="E12" i="3"/>
  <c r="C19" i="3"/>
  <c r="M19" i="3" s="1"/>
  <c r="B25" i="4" s="1"/>
  <c r="C10" i="3"/>
  <c r="E10" i="3" s="1"/>
  <c r="C18" i="3"/>
  <c r="H18" i="3" s="1"/>
  <c r="C9" i="3"/>
  <c r="D9" i="3" s="1"/>
  <c r="C17" i="3"/>
  <c r="M17" i="3" s="1"/>
  <c r="C16" i="3"/>
  <c r="F16" i="3" s="1"/>
  <c r="O16" i="3" s="1"/>
  <c r="D10" i="3" l="1"/>
  <c r="D19" i="3"/>
  <c r="I13" i="4"/>
  <c r="I16" i="4" s="1"/>
  <c r="D18" i="3"/>
  <c r="I19" i="3"/>
  <c r="I12" i="3"/>
  <c r="F19" i="3"/>
  <c r="O19" i="3" s="1"/>
  <c r="E14" i="3"/>
  <c r="H16" i="3"/>
  <c r="D14" i="3"/>
  <c r="I13" i="3"/>
  <c r="G8" i="3"/>
  <c r="L8" i="3" s="1"/>
  <c r="N8" i="3" s="1"/>
  <c r="I14" i="3"/>
  <c r="J18" i="3"/>
  <c r="H14" i="3"/>
  <c r="E18" i="3"/>
  <c r="I15" i="3"/>
  <c r="D15" i="3"/>
  <c r="F14" i="3"/>
  <c r="O14" i="3" s="1"/>
  <c r="J14" i="3"/>
  <c r="K8" i="3"/>
  <c r="D11" i="3"/>
  <c r="J11" i="3"/>
  <c r="M11" i="3"/>
  <c r="J17" i="3"/>
  <c r="M9" i="3"/>
  <c r="F9" i="3"/>
  <c r="O9" i="3" s="1"/>
  <c r="F13" i="3"/>
  <c r="O13" i="3" s="1"/>
  <c r="F15" i="3"/>
  <c r="O15" i="3" s="1"/>
  <c r="J19" i="3"/>
  <c r="F17" i="3"/>
  <c r="O17" i="3" s="1"/>
  <c r="E13" i="3"/>
  <c r="M16" i="3"/>
  <c r="J16" i="3"/>
  <c r="E16" i="3"/>
  <c r="E19" i="3"/>
  <c r="F12" i="3"/>
  <c r="O12" i="3" s="1"/>
  <c r="D12" i="3"/>
  <c r="M12" i="3"/>
  <c r="E17" i="3"/>
  <c r="D16" i="3"/>
  <c r="H11" i="3"/>
  <c r="M18" i="3"/>
  <c r="I18" i="3"/>
  <c r="H15" i="3"/>
  <c r="I17" i="3"/>
  <c r="J15" i="3"/>
  <c r="E15" i="3"/>
  <c r="J13" i="3"/>
  <c r="J12" i="3"/>
  <c r="H19" i="3"/>
  <c r="E11" i="3"/>
  <c r="D13" i="3"/>
  <c r="F18" i="3"/>
  <c r="O18" i="3" s="1"/>
  <c r="M10" i="3"/>
  <c r="I10" i="3"/>
  <c r="H10" i="3"/>
  <c r="I9" i="3"/>
  <c r="D17" i="3"/>
  <c r="H13" i="3"/>
  <c r="I16" i="3"/>
  <c r="J10" i="3"/>
  <c r="I11" i="3"/>
  <c r="H9" i="3"/>
  <c r="F10" i="3"/>
  <c r="O10" i="3" s="1"/>
  <c r="E9" i="3"/>
  <c r="J9" i="3"/>
  <c r="H17" i="3"/>
  <c r="K18" i="3" l="1"/>
  <c r="K12" i="3"/>
  <c r="G19" i="3"/>
  <c r="B19" i="4" s="1"/>
  <c r="G14" i="3"/>
  <c r="K14" i="3"/>
  <c r="K16" i="3"/>
  <c r="K10" i="3"/>
  <c r="G16" i="3"/>
  <c r="K17" i="3"/>
  <c r="G11" i="3"/>
  <c r="G9" i="3"/>
  <c r="L9" i="3" s="1"/>
  <c r="G12" i="3"/>
  <c r="K11" i="3"/>
  <c r="G10" i="3"/>
  <c r="N9" i="3"/>
  <c r="L10" i="3"/>
  <c r="G15" i="3"/>
  <c r="K9" i="3"/>
  <c r="K15" i="3"/>
  <c r="G17" i="3"/>
  <c r="G13" i="3"/>
  <c r="K19" i="3"/>
  <c r="I22" i="4" s="1"/>
  <c r="G18" i="3"/>
  <c r="K13" i="3"/>
  <c r="N10" i="3" l="1"/>
  <c r="L11" i="3"/>
  <c r="N11" i="3" l="1"/>
  <c r="L12" i="3"/>
  <c r="L13" i="3" l="1"/>
  <c r="N12" i="3"/>
  <c r="L14" i="3" l="1"/>
  <c r="N13" i="3"/>
  <c r="N14" i="3" l="1"/>
  <c r="L15" i="3"/>
  <c r="N15" i="3" l="1"/>
  <c r="L16" i="3"/>
  <c r="N16" i="3" l="1"/>
  <c r="L17" i="3"/>
  <c r="N17" i="3" l="1"/>
  <c r="L18" i="3"/>
  <c r="N18" i="3" l="1"/>
  <c r="L19" i="3"/>
  <c r="B22" i="4" l="1"/>
  <c r="N19" i="3"/>
  <c r="I19" i="4" l="1"/>
  <c r="B16" i="4"/>
  <c r="B13" i="4"/>
</calcChain>
</file>

<file path=xl/sharedStrings.xml><?xml version="1.0" encoding="utf-8"?>
<sst xmlns="http://schemas.openxmlformats.org/spreadsheetml/2006/main" count="277" uniqueCount="133">
  <si>
    <t>⚙  CONFIG SETUP</t>
  </si>
  <si>
    <t>📋 LEDGER</t>
  </si>
  <si>
    <t>∑  ENGINE</t>
  </si>
  <si>
    <t>◉  DASHBOARD</t>
  </si>
  <si>
    <t>CONFIGURATION SETUP</t>
  </si>
  <si>
    <t>ENTITY TYPES</t>
  </si>
  <si>
    <t>◀  VALIDATION REFERENCE LISTS (do not edit)  ▶</t>
  </si>
  <si>
    <t>Entity ID</t>
  </si>
  <si>
    <t>Entity Name</t>
  </si>
  <si>
    <t>Category Names</t>
  </si>
  <si>
    <t>Sub-Category Names</t>
  </si>
  <si>
    <t>ENT-01</t>
  </si>
  <si>
    <t>Business</t>
  </si>
  <si>
    <t>Business Income</t>
  </si>
  <si>
    <t>Acquisition</t>
  </si>
  <si>
    <t>ENT-02</t>
  </si>
  <si>
    <t>Personal</t>
  </si>
  <si>
    <t>Business Operating Expense</t>
  </si>
  <si>
    <t>Service Fees</t>
  </si>
  <si>
    <t>ENT-03</t>
  </si>
  <si>
    <t>Transfer</t>
  </si>
  <si>
    <t>Owner's Draw</t>
  </si>
  <si>
    <t>Retainer</t>
  </si>
  <si>
    <t>Personal Income</t>
  </si>
  <si>
    <t>SaaS Subscriptions</t>
  </si>
  <si>
    <t>TRANSACTION TYPES</t>
  </si>
  <si>
    <t>Survival Expenses</t>
  </si>
  <si>
    <t>Payroll</t>
  </si>
  <si>
    <t>Tx Type</t>
  </si>
  <si>
    <t>Discretionary Expenses</t>
  </si>
  <si>
    <t>Rent (Office)</t>
  </si>
  <si>
    <t>Inflow</t>
  </si>
  <si>
    <t>Savings</t>
  </si>
  <si>
    <t>Marketing</t>
  </si>
  <si>
    <t>Outflow</t>
  </si>
  <si>
    <t>Travel &amp; Entertainment</t>
  </si>
  <si>
    <t>STATUS VALUES</t>
  </si>
  <si>
    <t>Active Salary</t>
  </si>
  <si>
    <t>Status</t>
  </si>
  <si>
    <t>Other Personal Income</t>
  </si>
  <si>
    <t>Cleared</t>
  </si>
  <si>
    <t>Rent (Home)</t>
  </si>
  <si>
    <t>Pending</t>
  </si>
  <si>
    <t>Utilities</t>
  </si>
  <si>
    <t>Groceries</t>
  </si>
  <si>
    <t>CATEGORY &amp; SUB-CATEGORY TAXONOMY</t>
  </si>
  <si>
    <t>Dining Out</t>
  </si>
  <si>
    <t>Category Group</t>
  </si>
  <si>
    <t>Category Name</t>
  </si>
  <si>
    <t>Sub-Category Name</t>
  </si>
  <si>
    <t>Shopping</t>
  </si>
  <si>
    <t>Revenue</t>
  </si>
  <si>
    <t>Luxury</t>
  </si>
  <si>
    <t>Entertainment</t>
  </si>
  <si>
    <t>Emergency Fund</t>
  </si>
  <si>
    <t>Expense</t>
  </si>
  <si>
    <t>Investment</t>
  </si>
  <si>
    <t>BUDGET &amp; ALERT THRESHOLDS</t>
  </si>
  <si>
    <t>Budget Item</t>
  </si>
  <si>
    <t>Weekly Limit</t>
  </si>
  <si>
    <t>Monthly Limit</t>
  </si>
  <si>
    <t>Alert %</t>
  </si>
  <si>
    <t>Personal Discretionary</t>
  </si>
  <si>
    <t>Owner's Draw (Monthly Cap)</t>
  </si>
  <si>
    <t>STARTING BALANCES</t>
  </si>
  <si>
    <t>Account</t>
  </si>
  <si>
    <t>Opening Balance</t>
  </si>
  <si>
    <t>Business Cash Balance</t>
  </si>
  <si>
    <t>Personal Savings Balance</t>
  </si>
  <si>
    <t>TRANSACTION LEDGER</t>
  </si>
  <si>
    <t>Log every business and personal cash movement. Owner resolves Pending items during weekly check-in.</t>
  </si>
  <si>
    <t>Tx ID</t>
  </si>
  <si>
    <t>Date</t>
  </si>
  <si>
    <t>Entity</t>
  </si>
  <si>
    <t>Type</t>
  </si>
  <si>
    <t>Category</t>
  </si>
  <si>
    <t>Sub-Category</t>
  </si>
  <si>
    <t>Amount</t>
  </si>
  <si>
    <t>Description</t>
  </si>
  <si>
    <t>Acct. Flag</t>
  </si>
  <si>
    <t>Admin Notes</t>
  </si>
  <si>
    <t>Client payment — ABC Corp</t>
  </si>
  <si>
    <t>Slack annual subscription</t>
  </si>
  <si>
    <t>Google Ads — June campaign</t>
  </si>
  <si>
    <t>Monthly owner draw</t>
  </si>
  <si>
    <t>Owner draw received — personal account</t>
  </si>
  <si>
    <t>June monthly rent</t>
  </si>
  <si>
    <t>Dinner — The Capital Grille</t>
  </si>
  <si>
    <t>Retainer — XYZ Consulting Ltd</t>
  </si>
  <si>
    <t>Contractor payment — Dev team</t>
  </si>
  <si>
    <t>Weekly groceries — Whole Foods</t>
  </si>
  <si>
    <t>Amazon order — home office supplies</t>
  </si>
  <si>
    <t>Netflix annual subscription</t>
  </si>
  <si>
    <t>↓  Append new rows here — copy row format from above as needed</t>
  </si>
  <si>
    <t>CALCULATION ENGINE</t>
  </si>
  <si>
    <t>Protected — do not edit. All values auto-calculated from Data_Transactions ledger.</t>
  </si>
  <si>
    <t>Period Start</t>
  </si>
  <si>
    <t>Period End</t>
  </si>
  <si>
    <t>Biz Income</t>
  </si>
  <si>
    <t>Biz OpEx</t>
  </si>
  <si>
    <t>Biz Net CF</t>
  </si>
  <si>
    <t>Pers Income</t>
  </si>
  <si>
    <t>Pers Survival</t>
  </si>
  <si>
    <t>Pers Discretion</t>
  </si>
  <si>
    <t>Pers Net CF</t>
  </si>
  <si>
    <t>Cumul Biz Cash</t>
  </si>
  <si>
    <t>Monthly Burn Rate</t>
  </si>
  <si>
    <t>Runway (Mo.)</t>
  </si>
  <si>
    <t>Draw Recip. Check</t>
  </si>
  <si>
    <t>▶  GREEN = inflow</t>
  </si>
  <si>
    <t>▶  RED = outflow</t>
  </si>
  <si>
    <t>▶  AMBER = draw</t>
  </si>
  <si>
    <t>▶  BLUE = runway</t>
  </si>
  <si>
    <t>▶  ROW 19 = CURRENT WEEK</t>
  </si>
  <si>
    <t>◉  PULSE DASHBOARD</t>
  </si>
  <si>
    <t>WEEKLY PARTNER CHECK-IN</t>
  </si>
  <si>
    <t>BUSINESS HEALTH</t>
  </si>
  <si>
    <t>PERSONAL BUDGET PACING</t>
  </si>
  <si>
    <t>TODAY's DATE</t>
  </si>
  <si>
    <t>WEEKLY DISCRETIONARY LIMIT</t>
  </si>
  <si>
    <t>BUSINESS RUNWAY (MONTHS)</t>
  </si>
  <si>
    <t>WEEKLY SPENT TO DATE</t>
  </si>
  <si>
    <t>RUNWAY ALERT STATUS</t>
  </si>
  <si>
    <t>BUDGET VARIANCE (REMAINING)</t>
  </si>
  <si>
    <t>WEEKLY BIZ NET CASH FLOW</t>
  </si>
  <si>
    <t>WEEKLY PULSE RESULT</t>
  </si>
  <si>
    <t>BUSINESS CASH POSITION</t>
  </si>
  <si>
    <t>PERSONAL NET CASH FLOW</t>
  </si>
  <si>
    <t>EST. MONTHLY BURN RATE</t>
  </si>
  <si>
    <t>TOTAL PENDING ALERTS</t>
  </si>
  <si>
    <t>⚑  PENDING ITEMS TO RECONCILE</t>
  </si>
  <si>
    <t>Items below require owner verification. Target: Pending Count = 0 at end of each weekly check-in.</t>
  </si>
  <si>
    <t>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</si>
</sst>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164" formatCode="\$#,##0.00;&quot;($&quot;#,##0.00\);\-"/>
    <numFmt numFmtId="165" formatCode="0.0%"/>
    <numFmt numFmtId="166" formatCode="\$#,##0.00"/>
    <numFmt numFmtId="167" formatCode="yyyy\-mm\-dd"/>
    <numFmt numFmtId="168" formatCode="0.0"/>
    <numFmt numFmtId="169" formatCode="0.0&quot; mo&quot;"/>
    <numFmt numFmtId="170" formatCode="0&quot; items&quot;"/>
  </numFmts>
  <fonts count="34" x14ac:knownFonts="1">
    <font>
      <sz val="11"/>
      <color theme="1"/>
      <name val="Calibri"/>
      <family val="2"/>
      <charset val="1"/>
    </font>
    <font>
      <b/>
      <sz val="12"/>
      <color rgb="FF2251FF"/>
      <name val="Garamond"/>
      <family val="1"/>
    </font>
    <font>
      <b/>
      <sz val="12"/>
      <color rgb="FFFFFFFF"/>
      <name val="Garamond"/>
      <family val="1"/>
    </font>
    <font>
      <b/>
      <sz val="20"/>
      <color rgb="FF051C2C"/>
      <name val="Garamond"/>
      <family val="1"/>
    </font>
    <font>
      <b/>
      <sz val="13"/>
      <color rgb="FF051C2C"/>
      <name val="Garamond"/>
      <family val="1"/>
    </font>
    <font>
      <sz val="9"/>
      <color rgb="FF888888"/>
      <name val="等线"/>
    </font>
    <font>
      <b/>
      <sz val="11"/>
      <color rgb="FFFFFFFF"/>
      <name val="Garamond"/>
      <family val="1"/>
    </font>
    <font>
      <sz val="10"/>
      <color rgb="FF888888"/>
      <name val="等线"/>
    </font>
    <font>
      <b/>
      <sz val="11"/>
      <color rgb="FF1A1A2E"/>
      <name val="等线"/>
    </font>
    <font>
      <sz val="10"/>
      <color rgb="FF1A1A2E"/>
      <name val="等线"/>
    </font>
    <font>
      <b/>
      <sz val="11"/>
      <color rgb="FF00C853"/>
      <name val="等线"/>
    </font>
    <font>
      <b/>
      <sz val="11"/>
      <color rgb="FFD32F2F"/>
      <name val="等线"/>
    </font>
    <font>
      <b/>
      <sz val="11"/>
      <color rgb="FFF57C00"/>
      <name val="等线"/>
    </font>
    <font>
      <sz val="10"/>
      <color rgb="FF00C853"/>
      <name val="等线"/>
    </font>
    <font>
      <sz val="11"/>
      <color rgb="FF1A1A2E"/>
      <name val="等线"/>
    </font>
    <font>
      <sz val="11"/>
      <color rgb="FF888888"/>
      <name val="等线"/>
    </font>
    <font>
      <sz val="10"/>
      <color rgb="FFD32F2F"/>
      <name val="等线"/>
    </font>
    <font>
      <sz val="10"/>
      <color rgb="FF2251FF"/>
      <name val="等线"/>
    </font>
    <font>
      <b/>
      <sz val="11"/>
      <color rgb="FF051C2C"/>
      <name val="等线"/>
    </font>
    <font>
      <b/>
      <sz val="10"/>
      <color rgb="FF00C853"/>
      <name val="等线"/>
    </font>
    <font>
      <sz val="10"/>
      <color rgb="FFF57C00"/>
      <name val="等线"/>
    </font>
    <font>
      <b/>
      <sz val="10"/>
      <color rgb="FFF57C00"/>
      <name val="等线"/>
    </font>
    <font>
      <b/>
      <sz val="10"/>
      <color rgb="FF1A1A2E"/>
      <name val="等线"/>
    </font>
    <font>
      <b/>
      <sz val="10"/>
      <color rgb="FF051C2C"/>
      <name val="等线"/>
    </font>
    <font>
      <b/>
      <sz val="10"/>
      <color rgb="FF2251FF"/>
      <name val="等线"/>
    </font>
    <font>
      <sz val="9"/>
      <color rgb="FF00C853"/>
      <name val="等线"/>
    </font>
    <font>
      <sz val="9"/>
      <color rgb="FFD32F2F"/>
      <name val="等线"/>
    </font>
    <font>
      <sz val="9"/>
      <color rgb="FFF57C00"/>
      <name val="等线"/>
    </font>
    <font>
      <sz val="9"/>
      <color rgb="FF2251FF"/>
      <name val="等线"/>
    </font>
    <font>
      <sz val="9"/>
      <color rgb="FF051C2C"/>
      <name val="等线"/>
    </font>
    <font>
      <sz val="11"/>
      <color rgb="FF888888"/>
      <name val="Garamond"/>
      <family val="1"/>
    </font>
    <font>
      <b/>
      <sz val="18"/>
      <color rgb="FF051C2C"/>
      <name val="Garamond"/>
      <family val="1"/>
    </font>
    <font>
      <b/>
      <sz val="18"/>
      <color rgb="FFF57C00"/>
      <name val="Garamond"/>
      <family val="1"/>
    </font>
    <font>
      <sz val="8"/>
      <color rgb="FF888888"/>
      <name val="等线"/>
    </font>
  </fonts>
  <fills count="7">
    <fill>
      <patternFill patternType="none"/>
    </fill>
    <fill>
      <patternFill patternType="gray125"/>
    </fill>
    <fill>
      <patternFill patternType="solid">
        <fgColor rgb="FFF5F5F2"/>
        <bgColor rgb="FFFFFDE7"/>
      </patternFill>
    </fill>
    <fill>
      <patternFill patternType="solid">
        <fgColor rgb="FF051C2C"/>
        <bgColor rgb="FF1A1A2E"/>
      </patternFill>
    </fill>
    <fill>
      <patternFill patternType="solid">
        <fgColor rgb="FF2251FF"/>
        <bgColor rgb="FF0066CC"/>
      </patternFill>
    </fill>
    <fill>
      <patternFill patternType="solid">
        <fgColor rgb="FFFFFFFF"/>
        <bgColor rgb="FFFFFDE7"/>
      </patternFill>
    </fill>
    <fill>
      <patternFill patternType="solid">
        <fgColor rgb="FFFFFDE7"/>
        <bgColor rgb="FFFFFF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888888"/>
      </bottom>
      <diagonal/>
    </border>
    <border>
      <left/>
      <right/>
      <top/>
      <bottom style="medium">
        <color rgb="FF2251FF"/>
      </bottom>
      <diagonal/>
    </border>
    <border>
      <left/>
      <right/>
      <top style="medium">
        <color rgb="FF2251FF"/>
      </top>
      <bottom style="medium">
        <color rgb="FF2251FF"/>
      </bottom>
      <diagonal/>
    </border>
    <border>
      <left/>
      <right style="medium">
        <color rgb="FF2251FF"/>
      </right>
      <top/>
      <bottom/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0" fillId="4" borderId="0" xfId="0" applyFill="1"/>
    <xf numFmtId="0" fontId="3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0" fillId="2" borderId="2" xfId="0" applyFill="1" applyBorder="1"/>
    <xf numFmtId="0" fontId="5" fillId="2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/>
    </xf>
    <xf numFmtId="0" fontId="0" fillId="5" borderId="0" xfId="0" applyFill="1"/>
    <xf numFmtId="0" fontId="9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11" fillId="5" borderId="0" xfId="0" applyFont="1" applyFill="1" applyAlignment="1">
      <alignment horizontal="left" vertical="center"/>
    </xf>
    <xf numFmtId="0" fontId="12" fillId="5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0" fontId="13" fillId="5" borderId="0" xfId="0" applyFont="1" applyFill="1" applyAlignment="1">
      <alignment horizontal="left" vertical="center"/>
    </xf>
    <xf numFmtId="0" fontId="14" fillId="5" borderId="0" xfId="0" applyFont="1" applyFill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17" fillId="2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164" fontId="18" fillId="6" borderId="0" xfId="0" applyNumberFormat="1" applyFont="1" applyFill="1" applyAlignment="1">
      <alignment horizontal="right" vertical="center"/>
    </xf>
    <xf numFmtId="165" fontId="18" fillId="6" borderId="0" xfId="0" applyNumberFormat="1" applyFont="1" applyFill="1" applyAlignment="1">
      <alignment horizontal="right" vertical="center"/>
    </xf>
    <xf numFmtId="166" fontId="18" fillId="6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center" vertical="center"/>
    </xf>
    <xf numFmtId="167" fontId="9" fillId="6" borderId="0" xfId="0" applyNumberFormat="1" applyFont="1" applyFill="1" applyAlignment="1">
      <alignment horizontal="center" vertical="center"/>
    </xf>
    <xf numFmtId="0" fontId="9" fillId="6" borderId="0" xfId="0" applyFont="1" applyFill="1" applyAlignment="1">
      <alignment horizontal="left" vertical="center"/>
    </xf>
    <xf numFmtId="164" fontId="9" fillId="6" borderId="0" xfId="0" applyNumberFormat="1" applyFont="1" applyFill="1" applyAlignment="1">
      <alignment horizontal="right" vertical="center"/>
    </xf>
    <xf numFmtId="0" fontId="19" fillId="6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center" vertical="center"/>
    </xf>
    <xf numFmtId="0" fontId="21" fillId="6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right" vertical="center"/>
    </xf>
    <xf numFmtId="167" fontId="9" fillId="2" borderId="0" xfId="0" applyNumberFormat="1" applyFont="1" applyFill="1" applyAlignment="1">
      <alignment horizontal="center" vertical="center"/>
    </xf>
    <xf numFmtId="164" fontId="13" fillId="2" borderId="0" xfId="0" applyNumberFormat="1" applyFont="1" applyFill="1" applyAlignment="1">
      <alignment horizontal="right" vertical="center"/>
    </xf>
    <xf numFmtId="164" fontId="16" fillId="2" borderId="0" xfId="0" applyNumberFormat="1" applyFont="1" applyFill="1" applyAlignment="1">
      <alignment horizontal="right" vertical="center"/>
    </xf>
    <xf numFmtId="164" fontId="20" fillId="2" borderId="0" xfId="0" applyNumberFormat="1" applyFont="1" applyFill="1" applyAlignment="1">
      <alignment horizontal="right" vertical="center"/>
    </xf>
    <xf numFmtId="164" fontId="22" fillId="2" borderId="0" xfId="0" applyNumberFormat="1" applyFont="1" applyFill="1" applyAlignment="1">
      <alignment horizontal="right" vertical="center"/>
    </xf>
    <xf numFmtId="164" fontId="23" fillId="2" borderId="0" xfId="0" applyNumberFormat="1" applyFont="1" applyFill="1" applyAlignment="1">
      <alignment horizontal="right" vertical="center"/>
    </xf>
    <xf numFmtId="164" fontId="7" fillId="2" borderId="0" xfId="0" applyNumberFormat="1" applyFont="1" applyFill="1" applyAlignment="1">
      <alignment horizontal="right" vertical="center"/>
    </xf>
    <xf numFmtId="168" fontId="24" fillId="2" borderId="0" xfId="0" applyNumberFormat="1" applyFont="1" applyFill="1" applyAlignment="1">
      <alignment horizontal="right" vertical="center"/>
    </xf>
    <xf numFmtId="0" fontId="9" fillId="2" borderId="0" xfId="0" applyFont="1" applyFill="1" applyAlignment="1">
      <alignment horizontal="center" vertical="center"/>
    </xf>
    <xf numFmtId="167" fontId="9" fillId="5" borderId="0" xfId="0" applyNumberFormat="1" applyFont="1" applyFill="1" applyAlignment="1">
      <alignment horizontal="center" vertical="center"/>
    </xf>
    <xf numFmtId="164" fontId="13" fillId="5" borderId="0" xfId="0" applyNumberFormat="1" applyFont="1" applyFill="1" applyAlignment="1">
      <alignment horizontal="right" vertical="center"/>
    </xf>
    <xf numFmtId="164" fontId="16" fillId="5" borderId="0" xfId="0" applyNumberFormat="1" applyFont="1" applyFill="1" applyAlignment="1">
      <alignment horizontal="right" vertical="center"/>
    </xf>
    <xf numFmtId="164" fontId="20" fillId="5" borderId="0" xfId="0" applyNumberFormat="1" applyFont="1" applyFill="1" applyAlignment="1">
      <alignment horizontal="right" vertical="center"/>
    </xf>
    <xf numFmtId="164" fontId="22" fillId="5" borderId="0" xfId="0" applyNumberFormat="1" applyFont="1" applyFill="1" applyAlignment="1">
      <alignment horizontal="right" vertical="center"/>
    </xf>
    <xf numFmtId="164" fontId="23" fillId="5" borderId="0" xfId="0" applyNumberFormat="1" applyFont="1" applyFill="1" applyAlignment="1">
      <alignment horizontal="right" vertical="center"/>
    </xf>
    <xf numFmtId="164" fontId="7" fillId="5" borderId="0" xfId="0" applyNumberFormat="1" applyFont="1" applyFill="1" applyAlignment="1">
      <alignment horizontal="right" vertical="center"/>
    </xf>
    <xf numFmtId="168" fontId="24" fillId="5" borderId="0" xfId="0" applyNumberFormat="1" applyFont="1" applyFill="1" applyAlignment="1">
      <alignment horizontal="right" vertical="center"/>
    </xf>
    <xf numFmtId="0" fontId="9" fillId="5" borderId="0" xfId="0" applyFont="1" applyFill="1" applyAlignment="1">
      <alignment horizontal="center" vertical="center"/>
    </xf>
    <xf numFmtId="167" fontId="9" fillId="5" borderId="3" xfId="0" applyNumberFormat="1" applyFont="1" applyFill="1" applyBorder="1" applyAlignment="1">
      <alignment horizontal="center" vertical="center"/>
    </xf>
    <xf numFmtId="164" fontId="13" fillId="5" borderId="3" xfId="0" applyNumberFormat="1" applyFont="1" applyFill="1" applyBorder="1" applyAlignment="1">
      <alignment horizontal="right" vertical="center"/>
    </xf>
    <xf numFmtId="164" fontId="16" fillId="5" borderId="3" xfId="0" applyNumberFormat="1" applyFont="1" applyFill="1" applyBorder="1" applyAlignment="1">
      <alignment horizontal="right" vertical="center"/>
    </xf>
    <xf numFmtId="164" fontId="20" fillId="5" borderId="3" xfId="0" applyNumberFormat="1" applyFont="1" applyFill="1" applyBorder="1" applyAlignment="1">
      <alignment horizontal="right" vertical="center"/>
    </xf>
    <xf numFmtId="164" fontId="22" fillId="5" borderId="3" xfId="0" applyNumberFormat="1" applyFont="1" applyFill="1" applyBorder="1" applyAlignment="1">
      <alignment horizontal="right" vertical="center"/>
    </xf>
    <xf numFmtId="164" fontId="23" fillId="5" borderId="3" xfId="0" applyNumberFormat="1" applyFont="1" applyFill="1" applyBorder="1" applyAlignment="1">
      <alignment horizontal="right" vertical="center"/>
    </xf>
    <xf numFmtId="164" fontId="7" fillId="5" borderId="3" xfId="0" applyNumberFormat="1" applyFont="1" applyFill="1" applyBorder="1" applyAlignment="1">
      <alignment horizontal="right" vertical="center"/>
    </xf>
    <xf numFmtId="168" fontId="24" fillId="5" borderId="3" xfId="0" applyNumberFormat="1" applyFont="1" applyFill="1" applyBorder="1" applyAlignment="1">
      <alignment horizontal="right" vertical="center"/>
    </xf>
    <xf numFmtId="0" fontId="9" fillId="5" borderId="3" xfId="0" applyFont="1" applyFill="1" applyBorder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0" fontId="28" fillId="2" borderId="0" xfId="0" applyFont="1" applyFill="1" applyAlignment="1">
      <alignment horizontal="left" vertical="center"/>
    </xf>
    <xf numFmtId="0" fontId="29" fillId="2" borderId="0" xfId="0" applyFont="1" applyFill="1" applyAlignment="1">
      <alignment horizontal="left" vertical="center"/>
    </xf>
    <xf numFmtId="0" fontId="30" fillId="2" borderId="0" xfId="0" applyFont="1" applyFill="1" applyAlignment="1">
      <alignment horizontal="right" vertical="center"/>
    </xf>
    <xf numFmtId="0" fontId="0" fillId="2" borderId="4" xfId="0" applyFill="1" applyBorder="1"/>
    <xf numFmtId="49" fontId="31" fillId="5" borderId="0" xfId="0" applyNumberFormat="1" applyFont="1" applyFill="1" applyAlignment="1">
      <alignment horizontal="left" vertical="center"/>
    </xf>
    <xf numFmtId="164" fontId="31" fillId="5" borderId="0" xfId="0" applyNumberFormat="1" applyFont="1" applyFill="1" applyAlignment="1">
      <alignment horizontal="left" vertical="center"/>
    </xf>
    <xf numFmtId="169" fontId="31" fillId="5" borderId="0" xfId="0" applyNumberFormat="1" applyFont="1" applyFill="1" applyAlignment="1">
      <alignment horizontal="left" vertical="center"/>
    </xf>
    <xf numFmtId="0" fontId="31" fillId="5" borderId="0" xfId="0" applyFont="1" applyFill="1" applyAlignment="1">
      <alignment horizontal="left" vertical="center"/>
    </xf>
    <xf numFmtId="170" fontId="32" fillId="5" borderId="0" xfId="0" applyNumberFormat="1" applyFont="1" applyFill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0" fillId="3" borderId="2" xfId="0" applyFill="1" applyBorder="1"/>
    <xf numFmtId="0" fontId="33" fillId="2" borderId="0" xfId="0" applyFont="1" applyFill="1" applyAlignment="1">
      <alignment horizontal="left" vertical="center"/>
    </xf>
  </cellXfs>
  <cellStyles count="1">
    <cellStyle name="Normal" xfId="0" builtinId="0"/>
  </cellStyles>
  <dxfs count="9">
    <dxf>
      <font>
        <b/>
        <color rgb="FFFFFFFF"/>
      </font>
      <fill>
        <patternFill>
          <bgColor rgb="FFD32F2F"/>
        </patternFill>
      </fill>
    </dxf>
    <dxf>
      <font>
        <b/>
        <color rgb="FFFFFFFF"/>
      </font>
      <fill>
        <patternFill>
          <bgColor rgb="FFF57C00"/>
        </patternFill>
      </fill>
    </dxf>
    <dxf>
      <font>
        <b/>
        <color rgb="FFFFFFFF"/>
      </font>
      <fill>
        <patternFill>
          <bgColor rgb="FF00C853"/>
        </patternFill>
      </fill>
    </dxf>
    <dxf>
      <font>
        <b/>
        <color rgb="FFD32F2F"/>
      </font>
    </dxf>
    <dxf>
      <font>
        <b/>
        <color rgb="FFD32F2F"/>
      </font>
    </dxf>
    <dxf>
      <font>
        <b/>
        <color rgb="FF00C853"/>
      </font>
    </dxf>
    <dxf>
      <font>
        <b/>
        <color rgb="FFFFFFFF"/>
      </font>
      <fill>
        <patternFill>
          <bgColor rgb="FFD32F2F"/>
        </patternFill>
      </fill>
    </dxf>
    <dxf>
      <font>
        <b/>
        <color rgb="FFFFFFFF"/>
      </font>
      <fill>
        <patternFill>
          <bgColor rgb="FFF57C00"/>
        </patternFill>
      </fill>
    </dxf>
    <dxf>
      <font>
        <b/>
        <color rgb="FFFFFFFF"/>
      </font>
      <fill>
        <patternFill>
          <bgColor rgb="FF00C853"/>
        </patternFill>
      </fill>
    </dxf>
  </dxfs>
  <tableStyles count="1" defaultTableStyle="TableStyleMedium2" defaultPivotStyle="PivotStyleLight16">
    <tableStyle name="Invisible" pivot="0" table="0" count="0" xr9:uid="{11415A6D-347D-444A-8A82-9F7AF02F41CC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DE7"/>
      <rgbColor rgb="FFF5F5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251FF"/>
      <rgbColor rgb="FF33CCCC"/>
      <rgbColor rgb="FF99CC00"/>
      <rgbColor rgb="FFFFCC00"/>
      <rgbColor rgb="FFFF9900"/>
      <rgbColor rgb="FFF57C00"/>
      <rgbColor rgb="FF666699"/>
      <rgbColor rgb="FF969696"/>
      <rgbColor rgb="FF134E64"/>
      <rgbColor rgb="FF00C853"/>
      <rgbColor rgb="FF051C2C"/>
      <rgbColor rgb="FF333300"/>
      <rgbColor rgb="FFD32F2F"/>
      <rgbColor rgb="FF993366"/>
      <rgbColor rgb="FF333399"/>
      <rgbColor rgb="FF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5"/>
  <sheetViews>
    <sheetView showGridLines="0" zoomScale="85" zoomScaleNormal="85" workbookViewId="0">
      <selection activeCell="F33" sqref="F33"/>
    </sheetView>
  </sheetViews>
  <sheetFormatPr defaultColWidth="8.6640625" defaultRowHeight="14.25" x14ac:dyDescent="0.45"/>
  <cols>
    <col min="1" max="1" width="3" customWidth="1"/>
    <col min="2" max="2" width="26" customWidth="1"/>
    <col min="3" max="3" width="24.59765625" bestFit="1" customWidth="1"/>
    <col min="4" max="4" width="20.33203125" bestFit="1" customWidth="1"/>
    <col min="5" max="5" width="22" customWidth="1"/>
    <col min="6" max="6" width="28" customWidth="1"/>
    <col min="7" max="7" width="36.33203125" bestFit="1" customWidth="1"/>
    <col min="8" max="8" width="18.86328125" bestFit="1" customWidth="1"/>
    <col min="10" max="10" width="13.265625" bestFit="1" customWidth="1"/>
    <col min="14" max="15" width="28" customWidth="1"/>
  </cols>
  <sheetData>
    <row r="1" spans="1:22" ht="7.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2" ht="19.5" customHeight="1" x14ac:dyDescent="0.45">
      <c r="A2" s="2"/>
      <c r="B2" s="3" t="s">
        <v>0</v>
      </c>
      <c r="C2" s="2"/>
      <c r="D2" s="2"/>
      <c r="E2" s="2"/>
      <c r="F2" s="4" t="s">
        <v>1</v>
      </c>
      <c r="G2" s="2"/>
      <c r="H2" s="2"/>
      <c r="I2" s="2"/>
      <c r="J2" s="4" t="s">
        <v>2</v>
      </c>
      <c r="K2" s="2"/>
      <c r="L2" s="2"/>
      <c r="M2" s="2"/>
      <c r="N2" s="4" t="s">
        <v>3</v>
      </c>
      <c r="O2" s="2"/>
      <c r="P2" s="2"/>
      <c r="Q2" s="2"/>
      <c r="R2" s="2"/>
      <c r="S2" s="2"/>
      <c r="T2" s="2"/>
      <c r="U2" s="2"/>
      <c r="V2" s="2"/>
    </row>
    <row r="3" spans="1:22" ht="4.5" customHeight="1" x14ac:dyDescent="0.45">
      <c r="A3" s="2"/>
      <c r="B3" s="5"/>
      <c r="C3" s="5"/>
      <c r="D3" s="5"/>
      <c r="E3" s="5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2" ht="27.75" customHeight="1" x14ac:dyDescent="0.45">
      <c r="A5" s="1"/>
      <c r="B5" s="6" t="s">
        <v>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22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22" ht="19.5" customHeight="1" thickBot="1" x14ac:dyDescent="0.5">
      <c r="A7" s="1"/>
      <c r="B7" s="7" t="s">
        <v>5</v>
      </c>
      <c r="C7" s="8"/>
      <c r="D7" s="8"/>
      <c r="E7" s="8"/>
      <c r="F7" s="1"/>
      <c r="G7" s="9" t="s">
        <v>6</v>
      </c>
      <c r="H7" s="1"/>
      <c r="I7" s="1"/>
      <c r="J7" s="1"/>
      <c r="K7" s="1"/>
      <c r="L7" s="1"/>
      <c r="M7" s="1"/>
      <c r="N7" s="1"/>
      <c r="O7" s="1"/>
      <c r="P7" s="1"/>
    </row>
    <row r="8" spans="1:22" ht="21.75" customHeight="1" x14ac:dyDescent="0.45">
      <c r="A8" s="1"/>
      <c r="B8" s="10" t="s">
        <v>7</v>
      </c>
      <c r="C8" s="10" t="s">
        <v>8</v>
      </c>
      <c r="D8" s="1"/>
      <c r="E8" s="1"/>
      <c r="F8" s="1"/>
      <c r="G8" s="10" t="s">
        <v>9</v>
      </c>
      <c r="H8" s="10" t="s">
        <v>10</v>
      </c>
      <c r="I8" s="1"/>
      <c r="J8" s="1"/>
      <c r="K8" s="1"/>
      <c r="L8" s="1"/>
      <c r="M8" s="1"/>
      <c r="N8" s="1"/>
      <c r="O8" s="1"/>
      <c r="P8" s="1"/>
    </row>
    <row r="9" spans="1:22" x14ac:dyDescent="0.45">
      <c r="A9" s="1"/>
      <c r="B9" s="11" t="s">
        <v>11</v>
      </c>
      <c r="C9" s="12" t="s">
        <v>12</v>
      </c>
      <c r="D9" s="1"/>
      <c r="E9" s="1"/>
      <c r="F9" s="1"/>
      <c r="G9" s="13" t="s">
        <v>13</v>
      </c>
      <c r="H9" s="13" t="s">
        <v>14</v>
      </c>
      <c r="I9" s="1"/>
      <c r="J9" s="1"/>
      <c r="K9" s="1"/>
      <c r="L9" s="1"/>
      <c r="M9" s="1"/>
      <c r="N9" s="1"/>
      <c r="O9" s="1"/>
      <c r="P9" s="1"/>
    </row>
    <row r="10" spans="1:22" x14ac:dyDescent="0.45">
      <c r="A10" s="1"/>
      <c r="B10" s="14" t="s">
        <v>15</v>
      </c>
      <c r="C10" s="15" t="s">
        <v>16</v>
      </c>
      <c r="D10" s="16"/>
      <c r="E10" s="16"/>
      <c r="F10" s="1"/>
      <c r="G10" s="17" t="s">
        <v>17</v>
      </c>
      <c r="H10" s="17" t="s">
        <v>18</v>
      </c>
      <c r="I10" s="1"/>
      <c r="J10" s="1"/>
      <c r="K10" s="1"/>
      <c r="L10" s="1"/>
      <c r="M10" s="1"/>
      <c r="N10" s="1"/>
      <c r="O10" s="1"/>
      <c r="P10" s="1"/>
    </row>
    <row r="11" spans="1:22" x14ac:dyDescent="0.45">
      <c r="A11" s="1"/>
      <c r="B11" s="11" t="s">
        <v>19</v>
      </c>
      <c r="C11" s="12" t="s">
        <v>20</v>
      </c>
      <c r="D11" s="1"/>
      <c r="E11" s="1"/>
      <c r="F11" s="1"/>
      <c r="G11" s="13" t="s">
        <v>21</v>
      </c>
      <c r="H11" s="13" t="s">
        <v>22</v>
      </c>
      <c r="I11" s="1"/>
      <c r="J11" s="1"/>
      <c r="K11" s="1"/>
      <c r="L11" s="1"/>
      <c r="M11" s="1"/>
      <c r="N11" s="1"/>
      <c r="O11" s="1"/>
      <c r="P11" s="1"/>
    </row>
    <row r="12" spans="1:22" x14ac:dyDescent="0.45">
      <c r="A12" s="1"/>
      <c r="B12" s="1"/>
      <c r="C12" s="1"/>
      <c r="D12" s="1"/>
      <c r="E12" s="1"/>
      <c r="F12" s="1"/>
      <c r="G12" s="17" t="s">
        <v>23</v>
      </c>
      <c r="H12" s="17" t="s">
        <v>24</v>
      </c>
      <c r="I12" s="1"/>
      <c r="J12" s="1"/>
      <c r="K12" s="1"/>
      <c r="L12" s="1"/>
      <c r="M12" s="1"/>
      <c r="N12" s="1"/>
      <c r="O12" s="1"/>
      <c r="P12" s="1"/>
    </row>
    <row r="13" spans="1:22" ht="19.5" customHeight="1" thickBot="1" x14ac:dyDescent="0.5">
      <c r="A13" s="1"/>
      <c r="B13" s="7" t="s">
        <v>25</v>
      </c>
      <c r="C13" s="8"/>
      <c r="D13" s="8"/>
      <c r="E13" s="8"/>
      <c r="F13" s="1"/>
      <c r="G13" s="13" t="s">
        <v>26</v>
      </c>
      <c r="H13" s="13" t="s">
        <v>27</v>
      </c>
      <c r="I13" s="1"/>
      <c r="J13" s="1"/>
      <c r="K13" s="1"/>
      <c r="L13" s="1"/>
      <c r="M13" s="1"/>
      <c r="N13" s="1"/>
      <c r="O13" s="1"/>
      <c r="P13" s="1"/>
    </row>
    <row r="14" spans="1:22" ht="21.75" customHeight="1" x14ac:dyDescent="0.45">
      <c r="A14" s="1"/>
      <c r="B14" s="10" t="s">
        <v>28</v>
      </c>
      <c r="C14" s="1"/>
      <c r="D14" s="1"/>
      <c r="E14" s="1"/>
      <c r="F14" s="1"/>
      <c r="G14" s="17" t="s">
        <v>29</v>
      </c>
      <c r="H14" s="17" t="s">
        <v>30</v>
      </c>
      <c r="I14" s="1"/>
      <c r="J14" s="1"/>
      <c r="K14" s="1"/>
      <c r="L14" s="1"/>
      <c r="M14" s="1"/>
      <c r="N14" s="1"/>
      <c r="O14" s="1"/>
      <c r="P14" s="1"/>
    </row>
    <row r="15" spans="1:22" x14ac:dyDescent="0.45">
      <c r="A15" s="1"/>
      <c r="B15" s="18" t="s">
        <v>31</v>
      </c>
      <c r="C15" s="1"/>
      <c r="D15" s="1"/>
      <c r="E15" s="1"/>
      <c r="F15" s="1"/>
      <c r="G15" s="13" t="s">
        <v>32</v>
      </c>
      <c r="H15" s="13" t="s">
        <v>33</v>
      </c>
      <c r="I15" s="1"/>
      <c r="J15" s="1"/>
      <c r="K15" s="1"/>
      <c r="L15" s="1"/>
      <c r="M15" s="1"/>
      <c r="N15" s="1"/>
      <c r="O15" s="1"/>
      <c r="P15" s="1"/>
    </row>
    <row r="16" spans="1:22" x14ac:dyDescent="0.45">
      <c r="A16" s="1"/>
      <c r="B16" s="19" t="s">
        <v>34</v>
      </c>
      <c r="C16" s="1"/>
      <c r="D16" s="1"/>
      <c r="E16" s="1"/>
      <c r="F16" s="1"/>
      <c r="G16" s="1"/>
      <c r="H16" s="17" t="s">
        <v>35</v>
      </c>
      <c r="I16" s="1"/>
      <c r="J16" s="1"/>
      <c r="K16" s="1"/>
      <c r="L16" s="1"/>
      <c r="M16" s="1"/>
      <c r="N16" s="1"/>
      <c r="O16" s="1"/>
      <c r="P16" s="1"/>
    </row>
    <row r="17" spans="1:16" x14ac:dyDescent="0.45">
      <c r="A17" s="1"/>
      <c r="B17" s="1"/>
      <c r="C17" s="1"/>
      <c r="D17" s="1"/>
      <c r="E17" s="1"/>
      <c r="F17" s="1"/>
      <c r="G17" s="1"/>
      <c r="H17" s="13" t="s">
        <v>21</v>
      </c>
      <c r="I17" s="1"/>
      <c r="J17" s="1"/>
      <c r="K17" s="1"/>
      <c r="L17" s="1"/>
      <c r="M17" s="1"/>
      <c r="N17" s="1"/>
      <c r="O17" s="1"/>
      <c r="P17" s="1"/>
    </row>
    <row r="18" spans="1:16" ht="19.5" customHeight="1" thickBot="1" x14ac:dyDescent="0.5">
      <c r="A18" s="1"/>
      <c r="B18" s="7" t="s">
        <v>36</v>
      </c>
      <c r="C18" s="8"/>
      <c r="D18" s="8"/>
      <c r="E18" s="8"/>
      <c r="F18" s="1"/>
      <c r="G18" s="1"/>
      <c r="H18" s="17" t="s">
        <v>37</v>
      </c>
      <c r="I18" s="1"/>
      <c r="J18" s="1"/>
      <c r="K18" s="1"/>
      <c r="L18" s="1"/>
      <c r="M18" s="1"/>
      <c r="N18" s="1"/>
      <c r="O18" s="1"/>
      <c r="P18" s="1"/>
    </row>
    <row r="19" spans="1:16" ht="21.75" customHeight="1" x14ac:dyDescent="0.45">
      <c r="A19" s="1"/>
      <c r="B19" s="10" t="s">
        <v>38</v>
      </c>
      <c r="C19" s="1"/>
      <c r="D19" s="1"/>
      <c r="E19" s="1"/>
      <c r="F19" s="1"/>
      <c r="G19" s="1"/>
      <c r="H19" s="13" t="s">
        <v>39</v>
      </c>
      <c r="I19" s="1"/>
      <c r="J19" s="1"/>
      <c r="K19" s="1"/>
      <c r="L19" s="1"/>
      <c r="M19" s="1"/>
      <c r="N19" s="1"/>
      <c r="O19" s="1"/>
      <c r="P19" s="1"/>
    </row>
    <row r="20" spans="1:16" x14ac:dyDescent="0.45">
      <c r="A20" s="1"/>
      <c r="B20" s="18" t="s">
        <v>40</v>
      </c>
      <c r="C20" s="1"/>
      <c r="D20" s="1"/>
      <c r="E20" s="1"/>
      <c r="F20" s="1"/>
      <c r="G20" s="1"/>
      <c r="H20" s="17" t="s">
        <v>41</v>
      </c>
      <c r="I20" s="1"/>
      <c r="J20" s="1"/>
      <c r="K20" s="1"/>
      <c r="L20" s="1"/>
      <c r="M20" s="1"/>
      <c r="N20" s="1"/>
      <c r="O20" s="1"/>
      <c r="P20" s="1"/>
    </row>
    <row r="21" spans="1:16" x14ac:dyDescent="0.45">
      <c r="A21" s="1"/>
      <c r="B21" s="20" t="s">
        <v>42</v>
      </c>
      <c r="C21" s="1"/>
      <c r="D21" s="1"/>
      <c r="E21" s="1"/>
      <c r="F21" s="1"/>
      <c r="G21" s="1"/>
      <c r="H21" s="13" t="s">
        <v>43</v>
      </c>
      <c r="I21" s="1"/>
      <c r="J21" s="1"/>
      <c r="K21" s="1"/>
      <c r="L21" s="1"/>
      <c r="M21" s="1"/>
      <c r="N21" s="1"/>
      <c r="O21" s="1"/>
      <c r="P21" s="1"/>
    </row>
    <row r="22" spans="1:16" x14ac:dyDescent="0.45">
      <c r="A22" s="1"/>
      <c r="B22" s="1"/>
      <c r="C22" s="1"/>
      <c r="D22" s="1"/>
      <c r="E22" s="1"/>
      <c r="F22" s="1"/>
      <c r="G22" s="1"/>
      <c r="H22" s="17" t="s">
        <v>44</v>
      </c>
      <c r="I22" s="1"/>
      <c r="J22" s="1"/>
      <c r="K22" s="1"/>
      <c r="L22" s="1"/>
      <c r="M22" s="1"/>
      <c r="N22" s="1"/>
      <c r="O22" s="1"/>
      <c r="P22" s="1"/>
    </row>
    <row r="23" spans="1:16" ht="19.5" customHeight="1" thickBot="1" x14ac:dyDescent="0.5">
      <c r="A23" s="1"/>
      <c r="B23" s="7" t="s">
        <v>45</v>
      </c>
      <c r="C23" s="8"/>
      <c r="D23" s="8"/>
      <c r="E23" s="8"/>
      <c r="F23" s="1"/>
      <c r="G23" s="1"/>
      <c r="H23" s="13" t="s">
        <v>46</v>
      </c>
      <c r="I23" s="1"/>
      <c r="J23" s="1"/>
      <c r="K23" s="1"/>
      <c r="L23" s="1"/>
      <c r="M23" s="1"/>
      <c r="N23" s="1"/>
      <c r="O23" s="1"/>
      <c r="P23" s="1"/>
    </row>
    <row r="24" spans="1:16" ht="21.75" customHeight="1" x14ac:dyDescent="0.45">
      <c r="A24" s="1"/>
      <c r="B24" s="10" t="s">
        <v>47</v>
      </c>
      <c r="C24" s="10" t="s">
        <v>48</v>
      </c>
      <c r="D24" s="10" t="s">
        <v>49</v>
      </c>
      <c r="E24" s="1"/>
      <c r="F24" s="1"/>
      <c r="G24" s="1"/>
      <c r="H24" s="17" t="s">
        <v>50</v>
      </c>
      <c r="I24" s="1"/>
      <c r="J24" s="1"/>
      <c r="K24" s="1"/>
      <c r="L24" s="1"/>
      <c r="M24" s="1"/>
      <c r="N24" s="1"/>
      <c r="O24" s="1"/>
      <c r="P24" s="1"/>
    </row>
    <row r="25" spans="1:16" x14ac:dyDescent="0.45">
      <c r="A25" s="1"/>
      <c r="B25" s="21" t="s">
        <v>51</v>
      </c>
      <c r="C25" s="22" t="s">
        <v>13</v>
      </c>
      <c r="D25" s="23" t="s">
        <v>14</v>
      </c>
      <c r="E25" s="1"/>
      <c r="F25" s="1"/>
      <c r="G25" s="1"/>
      <c r="H25" s="13" t="s">
        <v>52</v>
      </c>
      <c r="I25" s="1"/>
      <c r="J25" s="1"/>
      <c r="K25" s="1"/>
      <c r="L25" s="1"/>
      <c r="M25" s="1"/>
      <c r="N25" s="1"/>
      <c r="O25" s="1"/>
      <c r="P25" s="1"/>
    </row>
    <row r="26" spans="1:16" x14ac:dyDescent="0.45">
      <c r="A26" s="1"/>
      <c r="B26" s="24" t="s">
        <v>51</v>
      </c>
      <c r="C26" s="25" t="s">
        <v>13</v>
      </c>
      <c r="D26" s="26" t="s">
        <v>18</v>
      </c>
      <c r="E26" s="16"/>
      <c r="F26" s="1"/>
      <c r="G26" s="1"/>
      <c r="H26" s="17" t="s">
        <v>53</v>
      </c>
      <c r="I26" s="1"/>
      <c r="J26" s="1"/>
      <c r="K26" s="1"/>
      <c r="L26" s="1"/>
      <c r="M26" s="1"/>
      <c r="N26" s="1"/>
      <c r="O26" s="1"/>
      <c r="P26" s="1"/>
    </row>
    <row r="27" spans="1:16" x14ac:dyDescent="0.45">
      <c r="A27" s="1"/>
      <c r="B27" s="21" t="s">
        <v>51</v>
      </c>
      <c r="C27" s="22" t="s">
        <v>13</v>
      </c>
      <c r="D27" s="23" t="s">
        <v>22</v>
      </c>
      <c r="E27" s="1"/>
      <c r="F27" s="1"/>
      <c r="G27" s="1"/>
      <c r="H27" s="13" t="s">
        <v>54</v>
      </c>
      <c r="I27" s="1"/>
      <c r="J27" s="1"/>
      <c r="K27" s="1"/>
      <c r="L27" s="1"/>
      <c r="M27" s="1"/>
      <c r="N27" s="1"/>
      <c r="O27" s="1"/>
      <c r="P27" s="1"/>
    </row>
    <row r="28" spans="1:16" x14ac:dyDescent="0.45">
      <c r="A28" s="1"/>
      <c r="B28" s="27" t="s">
        <v>55</v>
      </c>
      <c r="C28" s="25" t="s">
        <v>17</v>
      </c>
      <c r="D28" s="26" t="s">
        <v>24</v>
      </c>
      <c r="E28" s="16"/>
      <c r="F28" s="1"/>
      <c r="G28" s="1"/>
      <c r="H28" s="17" t="s">
        <v>56</v>
      </c>
      <c r="I28" s="1"/>
      <c r="J28" s="1"/>
      <c r="K28" s="1"/>
      <c r="L28" s="1"/>
      <c r="M28" s="1"/>
      <c r="N28" s="1"/>
      <c r="O28" s="1"/>
      <c r="P28" s="1"/>
    </row>
    <row r="29" spans="1:16" x14ac:dyDescent="0.45">
      <c r="A29" s="1"/>
      <c r="B29" s="28" t="s">
        <v>55</v>
      </c>
      <c r="C29" s="22" t="s">
        <v>17</v>
      </c>
      <c r="D29" s="23" t="s">
        <v>27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45">
      <c r="A30" s="1"/>
      <c r="B30" s="27" t="s">
        <v>55</v>
      </c>
      <c r="C30" s="25" t="s">
        <v>17</v>
      </c>
      <c r="D30" s="26" t="s">
        <v>30</v>
      </c>
      <c r="E30" s="16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x14ac:dyDescent="0.45">
      <c r="A31" s="1"/>
      <c r="B31" s="28" t="s">
        <v>55</v>
      </c>
      <c r="C31" s="22" t="s">
        <v>17</v>
      </c>
      <c r="D31" s="23" t="s">
        <v>33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45">
      <c r="A32" s="1"/>
      <c r="B32" s="27" t="s">
        <v>55</v>
      </c>
      <c r="C32" s="25" t="s">
        <v>17</v>
      </c>
      <c r="D32" s="26" t="s">
        <v>35</v>
      </c>
      <c r="E32" s="16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45">
      <c r="A33" s="1"/>
      <c r="B33" s="28" t="s">
        <v>55</v>
      </c>
      <c r="C33" s="22" t="s">
        <v>21</v>
      </c>
      <c r="D33" s="23" t="s">
        <v>21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45">
      <c r="A34" s="1"/>
      <c r="B34" s="24" t="s">
        <v>51</v>
      </c>
      <c r="C34" s="25" t="s">
        <v>23</v>
      </c>
      <c r="D34" s="26" t="s">
        <v>37</v>
      </c>
      <c r="E34" s="16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 x14ac:dyDescent="0.45">
      <c r="A35" s="1"/>
      <c r="B35" s="21" t="s">
        <v>51</v>
      </c>
      <c r="C35" s="22" t="s">
        <v>23</v>
      </c>
      <c r="D35" s="23" t="s">
        <v>39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 x14ac:dyDescent="0.45">
      <c r="A36" s="1"/>
      <c r="B36" s="27" t="s">
        <v>55</v>
      </c>
      <c r="C36" s="25" t="s">
        <v>26</v>
      </c>
      <c r="D36" s="26" t="s">
        <v>41</v>
      </c>
      <c r="E36" s="16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 x14ac:dyDescent="0.45">
      <c r="A37" s="1"/>
      <c r="B37" s="28" t="s">
        <v>55</v>
      </c>
      <c r="C37" s="22" t="s">
        <v>26</v>
      </c>
      <c r="D37" s="23" t="s">
        <v>43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 x14ac:dyDescent="0.45">
      <c r="A38" s="1"/>
      <c r="B38" s="27" t="s">
        <v>55</v>
      </c>
      <c r="C38" s="25" t="s">
        <v>26</v>
      </c>
      <c r="D38" s="26" t="s">
        <v>44</v>
      </c>
      <c r="E38" s="16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 x14ac:dyDescent="0.45">
      <c r="A39" s="1"/>
      <c r="B39" s="28" t="s">
        <v>55</v>
      </c>
      <c r="C39" s="22" t="s">
        <v>29</v>
      </c>
      <c r="D39" s="23" t="s">
        <v>46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 x14ac:dyDescent="0.45">
      <c r="A40" s="1"/>
      <c r="B40" s="27" t="s">
        <v>55</v>
      </c>
      <c r="C40" s="25" t="s">
        <v>29</v>
      </c>
      <c r="D40" s="26" t="s">
        <v>50</v>
      </c>
      <c r="E40" s="16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45">
      <c r="A41" s="1"/>
      <c r="B41" s="28" t="s">
        <v>55</v>
      </c>
      <c r="C41" s="22" t="s">
        <v>29</v>
      </c>
      <c r="D41" s="23" t="s">
        <v>52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 x14ac:dyDescent="0.45">
      <c r="A42" s="1"/>
      <c r="B42" s="27" t="s">
        <v>55</v>
      </c>
      <c r="C42" s="25" t="s">
        <v>29</v>
      </c>
      <c r="D42" s="26" t="s">
        <v>53</v>
      </c>
      <c r="E42" s="16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 x14ac:dyDescent="0.45">
      <c r="A43" s="1"/>
      <c r="B43" s="29" t="s">
        <v>32</v>
      </c>
      <c r="C43" s="22" t="s">
        <v>32</v>
      </c>
      <c r="D43" s="23" t="s">
        <v>54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 x14ac:dyDescent="0.45">
      <c r="A44" s="1"/>
      <c r="B44" s="30" t="s">
        <v>32</v>
      </c>
      <c r="C44" s="25" t="s">
        <v>32</v>
      </c>
      <c r="D44" s="26" t="s">
        <v>56</v>
      </c>
      <c r="E44" s="16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 ht="19.5" customHeight="1" thickBot="1" x14ac:dyDescent="0.5">
      <c r="A47" s="1"/>
      <c r="B47" s="7" t="s">
        <v>57</v>
      </c>
      <c r="C47" s="8"/>
      <c r="D47" s="8"/>
      <c r="E47" s="8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 ht="21.75" customHeight="1" x14ac:dyDescent="0.45">
      <c r="A48" s="1"/>
      <c r="B48" s="10" t="s">
        <v>58</v>
      </c>
      <c r="C48" s="10" t="s">
        <v>59</v>
      </c>
      <c r="D48" s="10" t="s">
        <v>60</v>
      </c>
      <c r="E48" s="10" t="s">
        <v>61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 x14ac:dyDescent="0.45">
      <c r="A49" s="1"/>
      <c r="B49" s="22" t="s">
        <v>62</v>
      </c>
      <c r="C49" s="31">
        <v>300</v>
      </c>
      <c r="D49" s="31">
        <v>1200</v>
      </c>
      <c r="E49" s="32">
        <v>0.85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 x14ac:dyDescent="0.45">
      <c r="A50" s="1"/>
      <c r="B50" s="25" t="s">
        <v>17</v>
      </c>
      <c r="C50" s="31">
        <v>0</v>
      </c>
      <c r="D50" s="31">
        <v>5000</v>
      </c>
      <c r="E50" s="32">
        <v>0.9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 x14ac:dyDescent="0.45">
      <c r="A51" s="1"/>
      <c r="B51" s="22" t="s">
        <v>63</v>
      </c>
      <c r="C51" s="31">
        <v>0</v>
      </c>
      <c r="D51" s="31">
        <v>3000</v>
      </c>
      <c r="E51" s="32">
        <v>1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 ht="19.5" customHeight="1" thickBot="1" x14ac:dyDescent="0.5">
      <c r="A54" s="1"/>
      <c r="B54" s="7" t="s">
        <v>64</v>
      </c>
      <c r="C54" s="8"/>
      <c r="D54" s="8"/>
      <c r="E54" s="8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 ht="21.75" customHeight="1" x14ac:dyDescent="0.45">
      <c r="A55" s="1"/>
      <c r="B55" s="10" t="s">
        <v>65</v>
      </c>
      <c r="C55" s="10" t="s">
        <v>66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 x14ac:dyDescent="0.45">
      <c r="A56" s="1"/>
      <c r="B56" s="22" t="s">
        <v>67</v>
      </c>
      <c r="C56" s="33">
        <v>25000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 x14ac:dyDescent="0.45">
      <c r="A57" s="1"/>
      <c r="B57" s="25" t="s">
        <v>68</v>
      </c>
      <c r="C57" s="33">
        <v>5000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51C2C"/>
  </sheetPr>
  <dimension ref="A1:V110"/>
  <sheetViews>
    <sheetView showGridLines="0" showRowColHeaders="0" zoomScaleNormal="100" workbookViewId="0">
      <selection activeCell="K8" sqref="K8"/>
    </sheetView>
  </sheetViews>
  <sheetFormatPr defaultColWidth="8.6640625" defaultRowHeight="14.25" x14ac:dyDescent="0.45"/>
  <cols>
    <col min="1" max="1" width="3" customWidth="1"/>
    <col min="2" max="2" width="16" customWidth="1"/>
    <col min="3" max="3" width="13" customWidth="1"/>
    <col min="4" max="4" width="15" customWidth="1"/>
    <col min="5" max="5" width="12" customWidth="1"/>
    <col min="6" max="7" width="26" customWidth="1"/>
    <col min="8" max="8" width="14" customWidth="1"/>
    <col min="9" max="9" width="34" customWidth="1"/>
    <col min="10" max="10" width="12" customWidth="1"/>
    <col min="11" max="11" width="16" customWidth="1"/>
    <col min="12" max="12" width="36" customWidth="1"/>
  </cols>
  <sheetData>
    <row r="1" spans="1:22" ht="7.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2" ht="19.5" customHeight="1" x14ac:dyDescent="0.45">
      <c r="A2" s="2"/>
      <c r="B2" s="4" t="s">
        <v>0</v>
      </c>
      <c r="C2" s="2"/>
      <c r="D2" s="2"/>
      <c r="E2" s="2"/>
      <c r="F2" s="3" t="s">
        <v>1</v>
      </c>
      <c r="G2" s="2"/>
      <c r="H2" s="2"/>
      <c r="I2" s="2"/>
      <c r="J2" s="4" t="s">
        <v>2</v>
      </c>
      <c r="K2" s="2"/>
      <c r="L2" s="2"/>
      <c r="M2" s="2"/>
      <c r="N2" s="4" t="s">
        <v>3</v>
      </c>
      <c r="O2" s="2"/>
      <c r="P2" s="2"/>
      <c r="Q2" s="2"/>
      <c r="R2" s="2"/>
      <c r="S2" s="2"/>
      <c r="T2" s="2"/>
      <c r="U2" s="2"/>
      <c r="V2" s="2"/>
    </row>
    <row r="3" spans="1:22" ht="4.5" customHeight="1" x14ac:dyDescent="0.45">
      <c r="A3" s="2"/>
      <c r="B3" s="2"/>
      <c r="C3" s="2"/>
      <c r="D3" s="2"/>
      <c r="E3" s="2"/>
      <c r="F3" s="5"/>
      <c r="G3" s="5"/>
      <c r="H3" s="5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22" ht="27.75" customHeight="1" x14ac:dyDescent="0.45">
      <c r="A5" s="1"/>
      <c r="B5" s="34" t="s">
        <v>69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22" ht="13.5" customHeight="1" x14ac:dyDescent="0.45">
      <c r="A6" s="1"/>
      <c r="B6" s="9" t="s">
        <v>70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22" ht="21.75" customHeight="1" x14ac:dyDescent="0.45">
      <c r="A7" s="1"/>
      <c r="B7" s="10" t="s">
        <v>71</v>
      </c>
      <c r="C7" s="10" t="s">
        <v>72</v>
      </c>
      <c r="D7" s="10" t="s">
        <v>73</v>
      </c>
      <c r="E7" s="10" t="s">
        <v>74</v>
      </c>
      <c r="F7" s="10" t="s">
        <v>75</v>
      </c>
      <c r="G7" s="10" t="s">
        <v>76</v>
      </c>
      <c r="H7" s="10" t="s">
        <v>77</v>
      </c>
      <c r="I7" s="10" t="s">
        <v>78</v>
      </c>
      <c r="J7" s="10" t="s">
        <v>38</v>
      </c>
      <c r="K7" s="10" t="s">
        <v>79</v>
      </c>
      <c r="L7" s="10" t="s">
        <v>80</v>
      </c>
      <c r="M7" s="1"/>
      <c r="N7" s="1"/>
    </row>
    <row r="8" spans="1:22" x14ac:dyDescent="0.45">
      <c r="A8" s="1"/>
      <c r="B8" s="35" t="str">
        <f t="shared" ref="B8:B39" si="0">IF(C8="","","TX-"&amp;TEXT(YEAR(C8),"0000")&amp;"-"&amp;TEXT(ROW()-7,"0000"))</f>
        <v>TX-2026-0001</v>
      </c>
      <c r="C8" s="36">
        <v>46175</v>
      </c>
      <c r="D8" s="37" t="s">
        <v>12</v>
      </c>
      <c r="E8" s="37" t="s">
        <v>31</v>
      </c>
      <c r="F8" s="37" t="s">
        <v>13</v>
      </c>
      <c r="G8" s="37" t="s">
        <v>14</v>
      </c>
      <c r="H8" s="38">
        <v>5000</v>
      </c>
      <c r="I8" s="37" t="s">
        <v>81</v>
      </c>
      <c r="J8" s="39" t="s">
        <v>40</v>
      </c>
      <c r="K8" s="40" t="b">
        <f t="shared" ref="K8:K39" si="1">IF(J8="Pending",TRUE(),FALSE())</f>
        <v>0</v>
      </c>
      <c r="L8" s="37"/>
      <c r="M8" s="1"/>
      <c r="N8" s="1"/>
    </row>
    <row r="9" spans="1:22" x14ac:dyDescent="0.45">
      <c r="A9" s="1"/>
      <c r="B9" s="41" t="str">
        <f t="shared" si="0"/>
        <v>TX-2026-0002</v>
      </c>
      <c r="C9" s="36">
        <v>46176</v>
      </c>
      <c r="D9" s="37" t="s">
        <v>12</v>
      </c>
      <c r="E9" s="37" t="s">
        <v>34</v>
      </c>
      <c r="F9" s="37" t="s">
        <v>17</v>
      </c>
      <c r="G9" s="37" t="s">
        <v>24</v>
      </c>
      <c r="H9" s="38">
        <v>150</v>
      </c>
      <c r="I9" s="37" t="s">
        <v>82</v>
      </c>
      <c r="J9" s="39" t="s">
        <v>40</v>
      </c>
      <c r="K9" s="42" t="b">
        <f t="shared" si="1"/>
        <v>0</v>
      </c>
      <c r="L9" s="37"/>
      <c r="M9" s="1"/>
      <c r="N9" s="1"/>
    </row>
    <row r="10" spans="1:22" x14ac:dyDescent="0.45">
      <c r="A10" s="1"/>
      <c r="B10" s="35" t="str">
        <f t="shared" si="0"/>
        <v>TX-2026-0003</v>
      </c>
      <c r="C10" s="36">
        <v>46177</v>
      </c>
      <c r="D10" s="37" t="s">
        <v>12</v>
      </c>
      <c r="E10" s="37" t="s">
        <v>34</v>
      </c>
      <c r="F10" s="37" t="s">
        <v>17</v>
      </c>
      <c r="G10" s="37" t="s">
        <v>33</v>
      </c>
      <c r="H10" s="38">
        <v>800</v>
      </c>
      <c r="I10" s="37" t="s">
        <v>83</v>
      </c>
      <c r="J10" s="39" t="s">
        <v>40</v>
      </c>
      <c r="K10" s="40" t="b">
        <f t="shared" si="1"/>
        <v>0</v>
      </c>
      <c r="L10" s="37"/>
      <c r="M10" s="1"/>
      <c r="N10" s="1"/>
    </row>
    <row r="11" spans="1:22" x14ac:dyDescent="0.45">
      <c r="A11" s="1"/>
      <c r="B11" s="41" t="str">
        <f t="shared" si="0"/>
        <v>TX-2026-0004</v>
      </c>
      <c r="C11" s="36">
        <v>46178</v>
      </c>
      <c r="D11" s="37" t="s">
        <v>12</v>
      </c>
      <c r="E11" s="37" t="s">
        <v>34</v>
      </c>
      <c r="F11" s="37" t="s">
        <v>21</v>
      </c>
      <c r="G11" s="37" t="s">
        <v>21</v>
      </c>
      <c r="H11" s="38">
        <v>3000</v>
      </c>
      <c r="I11" s="37" t="s">
        <v>84</v>
      </c>
      <c r="J11" s="39" t="s">
        <v>40</v>
      </c>
      <c r="K11" s="42" t="b">
        <f t="shared" si="1"/>
        <v>0</v>
      </c>
      <c r="L11" s="37"/>
      <c r="M11" s="1"/>
      <c r="N11" s="1"/>
    </row>
    <row r="12" spans="1:22" x14ac:dyDescent="0.45">
      <c r="A12" s="1"/>
      <c r="B12" s="35" t="str">
        <f t="shared" si="0"/>
        <v>TX-2026-0005</v>
      </c>
      <c r="C12" s="36">
        <v>46178</v>
      </c>
      <c r="D12" s="37" t="s">
        <v>16</v>
      </c>
      <c r="E12" s="37" t="s">
        <v>31</v>
      </c>
      <c r="F12" s="37" t="s">
        <v>23</v>
      </c>
      <c r="G12" s="37" t="s">
        <v>37</v>
      </c>
      <c r="H12" s="38">
        <v>3000</v>
      </c>
      <c r="I12" s="37" t="s">
        <v>85</v>
      </c>
      <c r="J12" s="39" t="s">
        <v>40</v>
      </c>
      <c r="K12" s="40" t="b">
        <f t="shared" si="1"/>
        <v>0</v>
      </c>
      <c r="L12" s="37"/>
      <c r="M12" s="1"/>
      <c r="N12" s="1"/>
    </row>
    <row r="13" spans="1:22" x14ac:dyDescent="0.45">
      <c r="A13" s="1"/>
      <c r="B13" s="41" t="str">
        <f t="shared" si="0"/>
        <v>TX-2026-0006</v>
      </c>
      <c r="C13" s="36">
        <v>46176</v>
      </c>
      <c r="D13" s="37" t="s">
        <v>16</v>
      </c>
      <c r="E13" s="37" t="s">
        <v>34</v>
      </c>
      <c r="F13" s="37" t="s">
        <v>26</v>
      </c>
      <c r="G13" s="37" t="s">
        <v>41</v>
      </c>
      <c r="H13" s="38">
        <v>1500</v>
      </c>
      <c r="I13" s="37" t="s">
        <v>86</v>
      </c>
      <c r="J13" s="39" t="s">
        <v>40</v>
      </c>
      <c r="K13" s="42" t="b">
        <f t="shared" si="1"/>
        <v>0</v>
      </c>
      <c r="L13" s="37"/>
      <c r="M13" s="1"/>
      <c r="N13" s="1"/>
    </row>
    <row r="14" spans="1:22" x14ac:dyDescent="0.45">
      <c r="A14" s="1"/>
      <c r="B14" s="35" t="str">
        <f t="shared" si="0"/>
        <v>TX-2026-0007</v>
      </c>
      <c r="C14" s="36">
        <v>46177</v>
      </c>
      <c r="D14" s="37" t="s">
        <v>16</v>
      </c>
      <c r="E14" s="37" t="s">
        <v>34</v>
      </c>
      <c r="F14" s="37" t="s">
        <v>29</v>
      </c>
      <c r="G14" s="37" t="s">
        <v>46</v>
      </c>
      <c r="H14" s="38">
        <v>85</v>
      </c>
      <c r="I14" s="37" t="s">
        <v>87</v>
      </c>
      <c r="J14" s="39" t="s">
        <v>40</v>
      </c>
      <c r="K14" s="40" t="b">
        <f t="shared" si="1"/>
        <v>0</v>
      </c>
      <c r="L14" s="37"/>
      <c r="M14" s="1"/>
      <c r="N14" s="1"/>
    </row>
    <row r="15" spans="1:22" x14ac:dyDescent="0.45">
      <c r="A15" s="1"/>
      <c r="B15" s="41" t="str">
        <f t="shared" si="0"/>
        <v>TX-2026-0008</v>
      </c>
      <c r="C15" s="36">
        <v>46170</v>
      </c>
      <c r="D15" s="37" t="s">
        <v>12</v>
      </c>
      <c r="E15" s="37" t="s">
        <v>31</v>
      </c>
      <c r="F15" s="37" t="s">
        <v>13</v>
      </c>
      <c r="G15" s="37" t="s">
        <v>18</v>
      </c>
      <c r="H15" s="38">
        <v>2500</v>
      </c>
      <c r="I15" s="37" t="s">
        <v>88</v>
      </c>
      <c r="J15" s="39" t="s">
        <v>40</v>
      </c>
      <c r="K15" s="42" t="b">
        <f t="shared" si="1"/>
        <v>0</v>
      </c>
      <c r="L15" s="37"/>
      <c r="M15" s="1"/>
      <c r="N15" s="1"/>
    </row>
    <row r="16" spans="1:22" x14ac:dyDescent="0.45">
      <c r="A16" s="1"/>
      <c r="B16" s="35" t="str">
        <f t="shared" si="0"/>
        <v>TX-2026-0009</v>
      </c>
      <c r="C16" s="36">
        <v>46171</v>
      </c>
      <c r="D16" s="37" t="s">
        <v>12</v>
      </c>
      <c r="E16" s="37" t="s">
        <v>34</v>
      </c>
      <c r="F16" s="37" t="s">
        <v>17</v>
      </c>
      <c r="G16" s="37" t="s">
        <v>27</v>
      </c>
      <c r="H16" s="38">
        <v>4000</v>
      </c>
      <c r="I16" s="37" t="s">
        <v>89</v>
      </c>
      <c r="J16" s="39" t="s">
        <v>40</v>
      </c>
      <c r="K16" s="40" t="b">
        <f t="shared" si="1"/>
        <v>0</v>
      </c>
      <c r="L16" s="37"/>
      <c r="M16" s="1"/>
      <c r="N16" s="1"/>
    </row>
    <row r="17" spans="1:14" x14ac:dyDescent="0.45">
      <c r="A17" s="1"/>
      <c r="B17" s="41" t="str">
        <f t="shared" si="0"/>
        <v>TX-2026-0010</v>
      </c>
      <c r="C17" s="36">
        <v>46168</v>
      </c>
      <c r="D17" s="37" t="s">
        <v>16</v>
      </c>
      <c r="E17" s="37" t="s">
        <v>34</v>
      </c>
      <c r="F17" s="37" t="s">
        <v>26</v>
      </c>
      <c r="G17" s="37" t="s">
        <v>44</v>
      </c>
      <c r="H17" s="38">
        <v>200</v>
      </c>
      <c r="I17" s="37" t="s">
        <v>90</v>
      </c>
      <c r="J17" s="39" t="s">
        <v>40</v>
      </c>
      <c r="K17" s="42" t="b">
        <f t="shared" si="1"/>
        <v>0</v>
      </c>
      <c r="L17" s="37"/>
      <c r="M17" s="1"/>
      <c r="N17" s="1"/>
    </row>
    <row r="18" spans="1:14" x14ac:dyDescent="0.45">
      <c r="A18" s="1"/>
      <c r="B18" s="35" t="str">
        <f t="shared" si="0"/>
        <v>TX-2026-0011</v>
      </c>
      <c r="C18" s="36">
        <v>46169</v>
      </c>
      <c r="D18" s="37" t="s">
        <v>16</v>
      </c>
      <c r="E18" s="37" t="s">
        <v>34</v>
      </c>
      <c r="F18" s="37" t="s">
        <v>29</v>
      </c>
      <c r="G18" s="37" t="s">
        <v>50</v>
      </c>
      <c r="H18" s="38">
        <v>150</v>
      </c>
      <c r="I18" s="37" t="s">
        <v>91</v>
      </c>
      <c r="J18" s="39" t="s">
        <v>40</v>
      </c>
      <c r="K18" s="40" t="b">
        <f t="shared" si="1"/>
        <v>0</v>
      </c>
      <c r="L18" s="37"/>
      <c r="M18" s="1"/>
      <c r="N18" s="1"/>
    </row>
    <row r="19" spans="1:14" x14ac:dyDescent="0.45">
      <c r="A19" s="1"/>
      <c r="B19" s="41" t="str">
        <f t="shared" si="0"/>
        <v>TX-2026-0012</v>
      </c>
      <c r="C19" s="36">
        <v>46179</v>
      </c>
      <c r="D19" s="37" t="s">
        <v>16</v>
      </c>
      <c r="E19" s="37" t="s">
        <v>34</v>
      </c>
      <c r="F19" s="37" t="s">
        <v>29</v>
      </c>
      <c r="G19" s="37" t="s">
        <v>53</v>
      </c>
      <c r="H19" s="38">
        <v>45</v>
      </c>
      <c r="I19" s="37" t="s">
        <v>92</v>
      </c>
      <c r="J19" s="43" t="s">
        <v>42</v>
      </c>
      <c r="K19" s="42" t="b">
        <f t="shared" si="1"/>
        <v>1</v>
      </c>
      <c r="L19" s="37"/>
      <c r="M19" s="1"/>
      <c r="N19" s="1"/>
    </row>
    <row r="20" spans="1:14" x14ac:dyDescent="0.45">
      <c r="A20" s="1"/>
      <c r="B20" s="35" t="str">
        <f t="shared" si="0"/>
        <v/>
      </c>
      <c r="C20" s="36"/>
      <c r="D20" s="37"/>
      <c r="E20" s="37"/>
      <c r="F20" s="37"/>
      <c r="G20" s="37"/>
      <c r="H20" s="38"/>
      <c r="I20" s="37"/>
      <c r="J20" s="37"/>
      <c r="K20" s="40" t="b">
        <f t="shared" si="1"/>
        <v>0</v>
      </c>
      <c r="L20" s="37"/>
      <c r="M20" s="1"/>
      <c r="N20" s="1"/>
    </row>
    <row r="21" spans="1:14" x14ac:dyDescent="0.45">
      <c r="A21" s="1"/>
      <c r="B21" s="41" t="str">
        <f t="shared" si="0"/>
        <v/>
      </c>
      <c r="C21" s="36"/>
      <c r="D21" s="37"/>
      <c r="E21" s="37"/>
      <c r="F21" s="37"/>
      <c r="G21" s="37"/>
      <c r="H21" s="38"/>
      <c r="I21" s="37"/>
      <c r="J21" s="37"/>
      <c r="K21" s="42" t="b">
        <f t="shared" si="1"/>
        <v>0</v>
      </c>
      <c r="L21" s="37"/>
      <c r="M21" s="1"/>
      <c r="N21" s="1"/>
    </row>
    <row r="22" spans="1:14" x14ac:dyDescent="0.45">
      <c r="A22" s="1"/>
      <c r="B22" s="35" t="str">
        <f t="shared" si="0"/>
        <v/>
      </c>
      <c r="C22" s="36"/>
      <c r="D22" s="37"/>
      <c r="E22" s="37"/>
      <c r="F22" s="37"/>
      <c r="G22" s="37"/>
      <c r="H22" s="38"/>
      <c r="I22" s="37"/>
      <c r="J22" s="37"/>
      <c r="K22" s="40" t="b">
        <f t="shared" si="1"/>
        <v>0</v>
      </c>
      <c r="L22" s="37"/>
      <c r="M22" s="1"/>
      <c r="N22" s="1"/>
    </row>
    <row r="23" spans="1:14" x14ac:dyDescent="0.45">
      <c r="A23" s="1"/>
      <c r="B23" s="41" t="str">
        <f t="shared" si="0"/>
        <v/>
      </c>
      <c r="C23" s="36"/>
      <c r="D23" s="37"/>
      <c r="E23" s="37"/>
      <c r="F23" s="37"/>
      <c r="G23" s="37"/>
      <c r="H23" s="38"/>
      <c r="I23" s="37"/>
      <c r="J23" s="37"/>
      <c r="K23" s="42" t="b">
        <f t="shared" si="1"/>
        <v>0</v>
      </c>
      <c r="L23" s="37"/>
      <c r="M23" s="1"/>
      <c r="N23" s="1"/>
    </row>
    <row r="24" spans="1:14" x14ac:dyDescent="0.45">
      <c r="A24" s="1"/>
      <c r="B24" s="35" t="str">
        <f t="shared" si="0"/>
        <v/>
      </c>
      <c r="C24" s="36"/>
      <c r="D24" s="37"/>
      <c r="E24" s="37"/>
      <c r="F24" s="37"/>
      <c r="G24" s="37"/>
      <c r="H24" s="38"/>
      <c r="I24" s="37"/>
      <c r="J24" s="37"/>
      <c r="K24" s="40" t="b">
        <f t="shared" si="1"/>
        <v>0</v>
      </c>
      <c r="L24" s="37"/>
      <c r="M24" s="1"/>
      <c r="N24" s="1"/>
    </row>
    <row r="25" spans="1:14" x14ac:dyDescent="0.45">
      <c r="A25" s="1"/>
      <c r="B25" s="41" t="str">
        <f t="shared" si="0"/>
        <v/>
      </c>
      <c r="C25" s="36"/>
      <c r="D25" s="37"/>
      <c r="E25" s="37"/>
      <c r="F25" s="37"/>
      <c r="G25" s="37"/>
      <c r="H25" s="38"/>
      <c r="I25" s="37"/>
      <c r="J25" s="37"/>
      <c r="K25" s="42" t="b">
        <f t="shared" si="1"/>
        <v>0</v>
      </c>
      <c r="L25" s="37"/>
      <c r="M25" s="1"/>
      <c r="N25" s="1"/>
    </row>
    <row r="26" spans="1:14" x14ac:dyDescent="0.45">
      <c r="A26" s="1"/>
      <c r="B26" s="35" t="str">
        <f t="shared" si="0"/>
        <v/>
      </c>
      <c r="C26" s="36"/>
      <c r="D26" s="37"/>
      <c r="E26" s="37"/>
      <c r="F26" s="37"/>
      <c r="G26" s="37"/>
      <c r="H26" s="38"/>
      <c r="I26" s="37"/>
      <c r="J26" s="37"/>
      <c r="K26" s="40" t="b">
        <f t="shared" si="1"/>
        <v>0</v>
      </c>
      <c r="L26" s="37"/>
      <c r="M26" s="1"/>
      <c r="N26" s="1"/>
    </row>
    <row r="27" spans="1:14" x14ac:dyDescent="0.45">
      <c r="A27" s="1"/>
      <c r="B27" s="41" t="str">
        <f t="shared" si="0"/>
        <v/>
      </c>
      <c r="C27" s="36"/>
      <c r="D27" s="37"/>
      <c r="E27" s="37"/>
      <c r="F27" s="37"/>
      <c r="G27" s="37"/>
      <c r="H27" s="38"/>
      <c r="I27" s="37"/>
      <c r="J27" s="37"/>
      <c r="K27" s="42" t="b">
        <f t="shared" si="1"/>
        <v>0</v>
      </c>
      <c r="L27" s="37"/>
      <c r="M27" s="1"/>
      <c r="N27" s="1"/>
    </row>
    <row r="28" spans="1:14" x14ac:dyDescent="0.45">
      <c r="A28" s="1"/>
      <c r="B28" s="35" t="str">
        <f t="shared" si="0"/>
        <v/>
      </c>
      <c r="C28" s="36"/>
      <c r="D28" s="37"/>
      <c r="E28" s="37"/>
      <c r="F28" s="37"/>
      <c r="G28" s="37"/>
      <c r="H28" s="38"/>
      <c r="I28" s="37"/>
      <c r="J28" s="37"/>
      <c r="K28" s="40" t="b">
        <f t="shared" si="1"/>
        <v>0</v>
      </c>
      <c r="L28" s="37"/>
      <c r="M28" s="1"/>
      <c r="N28" s="1"/>
    </row>
    <row r="29" spans="1:14" x14ac:dyDescent="0.45">
      <c r="A29" s="1"/>
      <c r="B29" s="41" t="str">
        <f t="shared" si="0"/>
        <v/>
      </c>
      <c r="C29" s="36"/>
      <c r="D29" s="37"/>
      <c r="E29" s="37"/>
      <c r="F29" s="37"/>
      <c r="G29" s="37"/>
      <c r="H29" s="38"/>
      <c r="I29" s="37"/>
      <c r="J29" s="37"/>
      <c r="K29" s="42" t="b">
        <f t="shared" si="1"/>
        <v>0</v>
      </c>
      <c r="L29" s="37"/>
      <c r="M29" s="1"/>
      <c r="N29" s="1"/>
    </row>
    <row r="30" spans="1:14" x14ac:dyDescent="0.45">
      <c r="A30" s="1"/>
      <c r="B30" s="35" t="str">
        <f t="shared" si="0"/>
        <v/>
      </c>
      <c r="C30" s="36"/>
      <c r="D30" s="37"/>
      <c r="E30" s="37"/>
      <c r="F30" s="37"/>
      <c r="G30" s="37"/>
      <c r="H30" s="38"/>
      <c r="I30" s="37"/>
      <c r="J30" s="37"/>
      <c r="K30" s="40" t="b">
        <f t="shared" si="1"/>
        <v>0</v>
      </c>
      <c r="L30" s="37"/>
      <c r="M30" s="1"/>
      <c r="N30" s="1"/>
    </row>
    <row r="31" spans="1:14" x14ac:dyDescent="0.45">
      <c r="A31" s="1"/>
      <c r="B31" s="41" t="str">
        <f t="shared" si="0"/>
        <v/>
      </c>
      <c r="C31" s="36"/>
      <c r="D31" s="37"/>
      <c r="E31" s="37"/>
      <c r="F31" s="37"/>
      <c r="G31" s="37"/>
      <c r="H31" s="38"/>
      <c r="I31" s="37"/>
      <c r="J31" s="37"/>
      <c r="K31" s="42" t="b">
        <f t="shared" si="1"/>
        <v>0</v>
      </c>
      <c r="L31" s="37"/>
      <c r="M31" s="1"/>
      <c r="N31" s="1"/>
    </row>
    <row r="32" spans="1:14" x14ac:dyDescent="0.45">
      <c r="A32" s="1"/>
      <c r="B32" s="35" t="str">
        <f t="shared" si="0"/>
        <v/>
      </c>
      <c r="C32" s="36"/>
      <c r="D32" s="37"/>
      <c r="E32" s="37"/>
      <c r="F32" s="37"/>
      <c r="G32" s="37"/>
      <c r="H32" s="38"/>
      <c r="I32" s="37"/>
      <c r="J32" s="37"/>
      <c r="K32" s="40" t="b">
        <f t="shared" si="1"/>
        <v>0</v>
      </c>
      <c r="L32" s="37"/>
      <c r="M32" s="1"/>
      <c r="N32" s="1"/>
    </row>
    <row r="33" spans="1:14" x14ac:dyDescent="0.45">
      <c r="A33" s="1"/>
      <c r="B33" s="41" t="str">
        <f t="shared" si="0"/>
        <v/>
      </c>
      <c r="C33" s="36"/>
      <c r="D33" s="37"/>
      <c r="E33" s="37"/>
      <c r="F33" s="37"/>
      <c r="G33" s="37"/>
      <c r="H33" s="38"/>
      <c r="I33" s="37"/>
      <c r="J33" s="37"/>
      <c r="K33" s="42" t="b">
        <f t="shared" si="1"/>
        <v>0</v>
      </c>
      <c r="L33" s="37"/>
      <c r="M33" s="1"/>
      <c r="N33" s="1"/>
    </row>
    <row r="34" spans="1:14" x14ac:dyDescent="0.45">
      <c r="A34" s="1"/>
      <c r="B34" s="35" t="str">
        <f t="shared" si="0"/>
        <v/>
      </c>
      <c r="C34" s="36"/>
      <c r="D34" s="37"/>
      <c r="E34" s="37"/>
      <c r="F34" s="37"/>
      <c r="G34" s="37"/>
      <c r="H34" s="38"/>
      <c r="I34" s="37"/>
      <c r="J34" s="37"/>
      <c r="K34" s="40" t="b">
        <f t="shared" si="1"/>
        <v>0</v>
      </c>
      <c r="L34" s="37"/>
      <c r="M34" s="1"/>
      <c r="N34" s="1"/>
    </row>
    <row r="35" spans="1:14" x14ac:dyDescent="0.45">
      <c r="A35" s="1"/>
      <c r="B35" s="41" t="str">
        <f t="shared" si="0"/>
        <v/>
      </c>
      <c r="C35" s="36"/>
      <c r="D35" s="37"/>
      <c r="E35" s="37"/>
      <c r="F35" s="37"/>
      <c r="G35" s="37"/>
      <c r="H35" s="38"/>
      <c r="I35" s="37"/>
      <c r="J35" s="37"/>
      <c r="K35" s="42" t="b">
        <f t="shared" si="1"/>
        <v>0</v>
      </c>
      <c r="L35" s="37"/>
      <c r="M35" s="1"/>
      <c r="N35" s="1"/>
    </row>
    <row r="36" spans="1:14" x14ac:dyDescent="0.45">
      <c r="A36" s="1"/>
      <c r="B36" s="35" t="str">
        <f t="shared" si="0"/>
        <v/>
      </c>
      <c r="C36" s="36"/>
      <c r="D36" s="37"/>
      <c r="E36" s="37"/>
      <c r="F36" s="37"/>
      <c r="G36" s="37"/>
      <c r="H36" s="38"/>
      <c r="I36" s="37"/>
      <c r="J36" s="37"/>
      <c r="K36" s="40" t="b">
        <f t="shared" si="1"/>
        <v>0</v>
      </c>
      <c r="L36" s="37"/>
      <c r="M36" s="1"/>
      <c r="N36" s="1"/>
    </row>
    <row r="37" spans="1:14" x14ac:dyDescent="0.45">
      <c r="A37" s="1"/>
      <c r="B37" s="41" t="str">
        <f t="shared" si="0"/>
        <v/>
      </c>
      <c r="C37" s="36"/>
      <c r="D37" s="37"/>
      <c r="E37" s="37"/>
      <c r="F37" s="37"/>
      <c r="G37" s="37"/>
      <c r="H37" s="38"/>
      <c r="I37" s="37"/>
      <c r="J37" s="37"/>
      <c r="K37" s="42" t="b">
        <f t="shared" si="1"/>
        <v>0</v>
      </c>
      <c r="L37" s="37"/>
      <c r="M37" s="1"/>
      <c r="N37" s="1"/>
    </row>
    <row r="38" spans="1:14" x14ac:dyDescent="0.45">
      <c r="A38" s="1"/>
      <c r="B38" s="35" t="str">
        <f t="shared" si="0"/>
        <v/>
      </c>
      <c r="C38" s="36"/>
      <c r="D38" s="37"/>
      <c r="E38" s="37"/>
      <c r="F38" s="37"/>
      <c r="G38" s="37"/>
      <c r="H38" s="38"/>
      <c r="I38" s="37"/>
      <c r="J38" s="37"/>
      <c r="K38" s="40" t="b">
        <f t="shared" si="1"/>
        <v>0</v>
      </c>
      <c r="L38" s="37"/>
      <c r="M38" s="1"/>
      <c r="N38" s="1"/>
    </row>
    <row r="39" spans="1:14" x14ac:dyDescent="0.45">
      <c r="A39" s="1"/>
      <c r="B39" s="41" t="str">
        <f t="shared" si="0"/>
        <v/>
      </c>
      <c r="C39" s="36"/>
      <c r="D39" s="37"/>
      <c r="E39" s="37"/>
      <c r="F39" s="37"/>
      <c r="G39" s="37"/>
      <c r="H39" s="38"/>
      <c r="I39" s="37"/>
      <c r="J39" s="37"/>
      <c r="K39" s="42" t="b">
        <f t="shared" si="1"/>
        <v>0</v>
      </c>
      <c r="L39" s="37"/>
      <c r="M39" s="1"/>
      <c r="N39" s="1"/>
    </row>
    <row r="40" spans="1:14" x14ac:dyDescent="0.45">
      <c r="A40" s="1"/>
      <c r="B40" s="35" t="str">
        <f t="shared" ref="B40:B71" si="2">IF(C40="","","TX-"&amp;TEXT(YEAR(C40),"0000")&amp;"-"&amp;TEXT(ROW()-7,"0000"))</f>
        <v/>
      </c>
      <c r="C40" s="36"/>
      <c r="D40" s="37"/>
      <c r="E40" s="37"/>
      <c r="F40" s="37"/>
      <c r="G40" s="37"/>
      <c r="H40" s="38"/>
      <c r="I40" s="37"/>
      <c r="J40" s="37"/>
      <c r="K40" s="40" t="b">
        <f t="shared" ref="K40:K71" si="3">IF(J40="Pending",TRUE(),FALSE())</f>
        <v>0</v>
      </c>
      <c r="L40" s="37"/>
      <c r="M40" s="1"/>
      <c r="N40" s="1"/>
    </row>
    <row r="41" spans="1:14" x14ac:dyDescent="0.45">
      <c r="A41" s="1"/>
      <c r="B41" s="41" t="str">
        <f t="shared" si="2"/>
        <v/>
      </c>
      <c r="C41" s="36"/>
      <c r="D41" s="37"/>
      <c r="E41" s="37"/>
      <c r="F41" s="37"/>
      <c r="G41" s="37"/>
      <c r="H41" s="38"/>
      <c r="I41" s="37"/>
      <c r="J41" s="37"/>
      <c r="K41" s="42" t="b">
        <f t="shared" si="3"/>
        <v>0</v>
      </c>
      <c r="L41" s="37"/>
      <c r="M41" s="1"/>
      <c r="N41" s="1"/>
    </row>
    <row r="42" spans="1:14" x14ac:dyDescent="0.45">
      <c r="A42" s="1"/>
      <c r="B42" s="35" t="str">
        <f t="shared" si="2"/>
        <v/>
      </c>
      <c r="C42" s="36"/>
      <c r="D42" s="37"/>
      <c r="E42" s="37"/>
      <c r="F42" s="37"/>
      <c r="G42" s="37"/>
      <c r="H42" s="38"/>
      <c r="I42" s="37"/>
      <c r="J42" s="37"/>
      <c r="K42" s="40" t="b">
        <f t="shared" si="3"/>
        <v>0</v>
      </c>
      <c r="L42" s="37"/>
      <c r="M42" s="1"/>
      <c r="N42" s="1"/>
    </row>
    <row r="43" spans="1:14" x14ac:dyDescent="0.45">
      <c r="A43" s="1"/>
      <c r="B43" s="41" t="str">
        <f t="shared" si="2"/>
        <v/>
      </c>
      <c r="C43" s="36"/>
      <c r="D43" s="37"/>
      <c r="E43" s="37"/>
      <c r="F43" s="37"/>
      <c r="G43" s="37"/>
      <c r="H43" s="38"/>
      <c r="I43" s="37"/>
      <c r="J43" s="37"/>
      <c r="K43" s="42" t="b">
        <f t="shared" si="3"/>
        <v>0</v>
      </c>
      <c r="L43" s="37"/>
      <c r="M43" s="1"/>
      <c r="N43" s="1"/>
    </row>
    <row r="44" spans="1:14" x14ac:dyDescent="0.45">
      <c r="A44" s="1"/>
      <c r="B44" s="35" t="str">
        <f t="shared" si="2"/>
        <v/>
      </c>
      <c r="C44" s="36"/>
      <c r="D44" s="37"/>
      <c r="E44" s="37"/>
      <c r="F44" s="37"/>
      <c r="G44" s="37"/>
      <c r="H44" s="38"/>
      <c r="I44" s="37"/>
      <c r="J44" s="37"/>
      <c r="K44" s="40" t="b">
        <f t="shared" si="3"/>
        <v>0</v>
      </c>
      <c r="L44" s="37"/>
      <c r="M44" s="1"/>
      <c r="N44" s="1"/>
    </row>
    <row r="45" spans="1:14" x14ac:dyDescent="0.45">
      <c r="A45" s="1"/>
      <c r="B45" s="41" t="str">
        <f t="shared" si="2"/>
        <v/>
      </c>
      <c r="C45" s="36"/>
      <c r="D45" s="37"/>
      <c r="E45" s="37"/>
      <c r="F45" s="37"/>
      <c r="G45" s="37"/>
      <c r="H45" s="38"/>
      <c r="I45" s="37"/>
      <c r="J45" s="37"/>
      <c r="K45" s="42" t="b">
        <f t="shared" si="3"/>
        <v>0</v>
      </c>
      <c r="L45" s="37"/>
      <c r="M45" s="1"/>
      <c r="N45" s="1"/>
    </row>
    <row r="46" spans="1:14" x14ac:dyDescent="0.45">
      <c r="A46" s="1"/>
      <c r="B46" s="35" t="str">
        <f t="shared" si="2"/>
        <v/>
      </c>
      <c r="C46" s="36"/>
      <c r="D46" s="37"/>
      <c r="E46" s="37"/>
      <c r="F46" s="37"/>
      <c r="G46" s="37"/>
      <c r="H46" s="38"/>
      <c r="I46" s="37"/>
      <c r="J46" s="37"/>
      <c r="K46" s="40" t="b">
        <f t="shared" si="3"/>
        <v>0</v>
      </c>
      <c r="L46" s="37"/>
      <c r="M46" s="1"/>
      <c r="N46" s="1"/>
    </row>
    <row r="47" spans="1:14" x14ac:dyDescent="0.45">
      <c r="A47" s="1"/>
      <c r="B47" s="41" t="str">
        <f t="shared" si="2"/>
        <v/>
      </c>
      <c r="C47" s="36"/>
      <c r="D47" s="37"/>
      <c r="E47" s="37"/>
      <c r="F47" s="37"/>
      <c r="G47" s="37"/>
      <c r="H47" s="38"/>
      <c r="I47" s="37"/>
      <c r="J47" s="37"/>
      <c r="K47" s="42" t="b">
        <f t="shared" si="3"/>
        <v>0</v>
      </c>
      <c r="L47" s="37"/>
      <c r="M47" s="1"/>
      <c r="N47" s="1"/>
    </row>
    <row r="48" spans="1:14" x14ac:dyDescent="0.45">
      <c r="A48" s="1"/>
      <c r="B48" s="35" t="str">
        <f t="shared" si="2"/>
        <v/>
      </c>
      <c r="C48" s="36"/>
      <c r="D48" s="37"/>
      <c r="E48" s="37"/>
      <c r="F48" s="37"/>
      <c r="G48" s="37"/>
      <c r="H48" s="38"/>
      <c r="I48" s="37"/>
      <c r="J48" s="37"/>
      <c r="K48" s="40" t="b">
        <f t="shared" si="3"/>
        <v>0</v>
      </c>
      <c r="L48" s="37"/>
      <c r="M48" s="1"/>
      <c r="N48" s="1"/>
    </row>
    <row r="49" spans="1:14" x14ac:dyDescent="0.45">
      <c r="A49" s="1"/>
      <c r="B49" s="41" t="str">
        <f t="shared" si="2"/>
        <v/>
      </c>
      <c r="C49" s="36"/>
      <c r="D49" s="37"/>
      <c r="E49" s="37"/>
      <c r="F49" s="37"/>
      <c r="G49" s="37"/>
      <c r="H49" s="38"/>
      <c r="I49" s="37"/>
      <c r="J49" s="37"/>
      <c r="K49" s="42" t="b">
        <f t="shared" si="3"/>
        <v>0</v>
      </c>
      <c r="L49" s="37"/>
      <c r="M49" s="1"/>
      <c r="N49" s="1"/>
    </row>
    <row r="50" spans="1:14" x14ac:dyDescent="0.45">
      <c r="A50" s="1"/>
      <c r="B50" s="35" t="str">
        <f t="shared" si="2"/>
        <v/>
      </c>
      <c r="C50" s="36"/>
      <c r="D50" s="37"/>
      <c r="E50" s="37"/>
      <c r="F50" s="37"/>
      <c r="G50" s="37"/>
      <c r="H50" s="38"/>
      <c r="I50" s="37"/>
      <c r="J50" s="37"/>
      <c r="K50" s="40" t="b">
        <f t="shared" si="3"/>
        <v>0</v>
      </c>
      <c r="L50" s="37"/>
      <c r="M50" s="1"/>
      <c r="N50" s="1"/>
    </row>
    <row r="51" spans="1:14" x14ac:dyDescent="0.45">
      <c r="A51" s="1"/>
      <c r="B51" s="41" t="str">
        <f t="shared" si="2"/>
        <v/>
      </c>
      <c r="C51" s="36"/>
      <c r="D51" s="37"/>
      <c r="E51" s="37"/>
      <c r="F51" s="37"/>
      <c r="G51" s="37"/>
      <c r="H51" s="38"/>
      <c r="I51" s="37"/>
      <c r="J51" s="37"/>
      <c r="K51" s="42" t="b">
        <f t="shared" si="3"/>
        <v>0</v>
      </c>
      <c r="L51" s="37"/>
      <c r="M51" s="1"/>
      <c r="N51" s="1"/>
    </row>
    <row r="52" spans="1:14" x14ac:dyDescent="0.45">
      <c r="A52" s="1"/>
      <c r="B52" s="35" t="str">
        <f t="shared" si="2"/>
        <v/>
      </c>
      <c r="C52" s="36"/>
      <c r="D52" s="37"/>
      <c r="E52" s="37"/>
      <c r="F52" s="37"/>
      <c r="G52" s="37"/>
      <c r="H52" s="38"/>
      <c r="I52" s="37"/>
      <c r="J52" s="37"/>
      <c r="K52" s="40" t="b">
        <f t="shared" si="3"/>
        <v>0</v>
      </c>
      <c r="L52" s="37"/>
      <c r="M52" s="1"/>
      <c r="N52" s="1"/>
    </row>
    <row r="53" spans="1:14" x14ac:dyDescent="0.45">
      <c r="A53" s="1"/>
      <c r="B53" s="41" t="str">
        <f t="shared" si="2"/>
        <v/>
      </c>
      <c r="C53" s="36"/>
      <c r="D53" s="37"/>
      <c r="E53" s="37"/>
      <c r="F53" s="37"/>
      <c r="G53" s="37"/>
      <c r="H53" s="38"/>
      <c r="I53" s="37"/>
      <c r="J53" s="37"/>
      <c r="K53" s="42" t="b">
        <f t="shared" si="3"/>
        <v>0</v>
      </c>
      <c r="L53" s="37"/>
      <c r="M53" s="1"/>
      <c r="N53" s="1"/>
    </row>
    <row r="54" spans="1:14" x14ac:dyDescent="0.45">
      <c r="A54" s="1"/>
      <c r="B54" s="35" t="str">
        <f t="shared" si="2"/>
        <v/>
      </c>
      <c r="C54" s="36"/>
      <c r="D54" s="37"/>
      <c r="E54" s="37"/>
      <c r="F54" s="37"/>
      <c r="G54" s="37"/>
      <c r="H54" s="38"/>
      <c r="I54" s="37"/>
      <c r="J54" s="37"/>
      <c r="K54" s="40" t="b">
        <f t="shared" si="3"/>
        <v>0</v>
      </c>
      <c r="L54" s="37"/>
      <c r="M54" s="1"/>
      <c r="N54" s="1"/>
    </row>
    <row r="55" spans="1:14" x14ac:dyDescent="0.45">
      <c r="A55" s="1"/>
      <c r="B55" s="41" t="str">
        <f t="shared" si="2"/>
        <v/>
      </c>
      <c r="C55" s="36"/>
      <c r="D55" s="37"/>
      <c r="E55" s="37"/>
      <c r="F55" s="37"/>
      <c r="G55" s="37"/>
      <c r="H55" s="38"/>
      <c r="I55" s="37"/>
      <c r="J55" s="37"/>
      <c r="K55" s="42" t="b">
        <f t="shared" si="3"/>
        <v>0</v>
      </c>
      <c r="L55" s="37"/>
      <c r="M55" s="1"/>
      <c r="N55" s="1"/>
    </row>
    <row r="56" spans="1:14" x14ac:dyDescent="0.45">
      <c r="A56" s="1"/>
      <c r="B56" s="35" t="str">
        <f t="shared" si="2"/>
        <v/>
      </c>
      <c r="C56" s="36"/>
      <c r="D56" s="37"/>
      <c r="E56" s="37"/>
      <c r="F56" s="37"/>
      <c r="G56" s="37"/>
      <c r="H56" s="38"/>
      <c r="I56" s="37"/>
      <c r="J56" s="37"/>
      <c r="K56" s="40" t="b">
        <f t="shared" si="3"/>
        <v>0</v>
      </c>
      <c r="L56" s="37"/>
      <c r="M56" s="1"/>
      <c r="N56" s="1"/>
    </row>
    <row r="57" spans="1:14" x14ac:dyDescent="0.45">
      <c r="A57" s="1"/>
      <c r="B57" s="41" t="str">
        <f t="shared" si="2"/>
        <v/>
      </c>
      <c r="C57" s="36"/>
      <c r="D57" s="37"/>
      <c r="E57" s="37"/>
      <c r="F57" s="37"/>
      <c r="G57" s="37"/>
      <c r="H57" s="38"/>
      <c r="I57" s="37"/>
      <c r="J57" s="37"/>
      <c r="K57" s="42" t="b">
        <f t="shared" si="3"/>
        <v>0</v>
      </c>
      <c r="L57" s="37"/>
      <c r="M57" s="1"/>
      <c r="N57" s="1"/>
    </row>
    <row r="58" spans="1:14" x14ac:dyDescent="0.45">
      <c r="A58" s="1"/>
      <c r="B58" s="35" t="str">
        <f t="shared" si="2"/>
        <v/>
      </c>
      <c r="C58" s="36"/>
      <c r="D58" s="37"/>
      <c r="E58" s="37"/>
      <c r="F58" s="37"/>
      <c r="G58" s="37"/>
      <c r="H58" s="38"/>
      <c r="I58" s="37"/>
      <c r="J58" s="37"/>
      <c r="K58" s="40" t="b">
        <f t="shared" si="3"/>
        <v>0</v>
      </c>
      <c r="L58" s="37"/>
      <c r="M58" s="1"/>
      <c r="N58" s="1"/>
    </row>
    <row r="59" spans="1:14" x14ac:dyDescent="0.45">
      <c r="A59" s="1"/>
      <c r="B59" s="41" t="str">
        <f t="shared" si="2"/>
        <v/>
      </c>
      <c r="C59" s="36"/>
      <c r="D59" s="37"/>
      <c r="E59" s="37"/>
      <c r="F59" s="37"/>
      <c r="G59" s="37"/>
      <c r="H59" s="38"/>
      <c r="I59" s="37"/>
      <c r="J59" s="37"/>
      <c r="K59" s="42" t="b">
        <f t="shared" si="3"/>
        <v>0</v>
      </c>
      <c r="L59" s="37"/>
      <c r="M59" s="1"/>
      <c r="N59" s="1"/>
    </row>
    <row r="60" spans="1:14" x14ac:dyDescent="0.45">
      <c r="A60" s="1"/>
      <c r="B60" s="35" t="str">
        <f t="shared" si="2"/>
        <v/>
      </c>
      <c r="C60" s="36"/>
      <c r="D60" s="37"/>
      <c r="E60" s="37"/>
      <c r="F60" s="37"/>
      <c r="G60" s="37"/>
      <c r="H60" s="38"/>
      <c r="I60" s="37"/>
      <c r="J60" s="37"/>
      <c r="K60" s="40" t="b">
        <f t="shared" si="3"/>
        <v>0</v>
      </c>
      <c r="L60" s="37"/>
      <c r="M60" s="1"/>
      <c r="N60" s="1"/>
    </row>
    <row r="61" spans="1:14" x14ac:dyDescent="0.45">
      <c r="A61" s="1"/>
      <c r="B61" s="41" t="str">
        <f t="shared" si="2"/>
        <v/>
      </c>
      <c r="C61" s="36"/>
      <c r="D61" s="37"/>
      <c r="E61" s="37"/>
      <c r="F61" s="37"/>
      <c r="G61" s="37"/>
      <c r="H61" s="38"/>
      <c r="I61" s="37"/>
      <c r="J61" s="37"/>
      <c r="K61" s="42" t="b">
        <f t="shared" si="3"/>
        <v>0</v>
      </c>
      <c r="L61" s="37"/>
      <c r="M61" s="1"/>
      <c r="N61" s="1"/>
    </row>
    <row r="62" spans="1:14" x14ac:dyDescent="0.45">
      <c r="A62" s="1"/>
      <c r="B62" s="35" t="str">
        <f t="shared" si="2"/>
        <v/>
      </c>
      <c r="C62" s="36"/>
      <c r="D62" s="37"/>
      <c r="E62" s="37"/>
      <c r="F62" s="37"/>
      <c r="G62" s="37"/>
      <c r="H62" s="38"/>
      <c r="I62" s="37"/>
      <c r="J62" s="37"/>
      <c r="K62" s="40" t="b">
        <f t="shared" si="3"/>
        <v>0</v>
      </c>
      <c r="L62" s="37"/>
      <c r="M62" s="1"/>
      <c r="N62" s="1"/>
    </row>
    <row r="63" spans="1:14" x14ac:dyDescent="0.45">
      <c r="A63" s="1"/>
      <c r="B63" s="41" t="str">
        <f t="shared" si="2"/>
        <v/>
      </c>
      <c r="C63" s="36"/>
      <c r="D63" s="37"/>
      <c r="E63" s="37"/>
      <c r="F63" s="37"/>
      <c r="G63" s="37"/>
      <c r="H63" s="38"/>
      <c r="I63" s="37"/>
      <c r="J63" s="37"/>
      <c r="K63" s="42" t="b">
        <f t="shared" si="3"/>
        <v>0</v>
      </c>
      <c r="L63" s="37"/>
      <c r="M63" s="1"/>
      <c r="N63" s="1"/>
    </row>
    <row r="64" spans="1:14" x14ac:dyDescent="0.45">
      <c r="A64" s="1"/>
      <c r="B64" s="35" t="str">
        <f t="shared" si="2"/>
        <v/>
      </c>
      <c r="C64" s="36"/>
      <c r="D64" s="37"/>
      <c r="E64" s="37"/>
      <c r="F64" s="37"/>
      <c r="G64" s="37"/>
      <c r="H64" s="38"/>
      <c r="I64" s="37"/>
      <c r="J64" s="37"/>
      <c r="K64" s="40" t="b">
        <f t="shared" si="3"/>
        <v>0</v>
      </c>
      <c r="L64" s="37"/>
      <c r="M64" s="1"/>
      <c r="N64" s="1"/>
    </row>
    <row r="65" spans="1:14" x14ac:dyDescent="0.45">
      <c r="A65" s="1"/>
      <c r="B65" s="41" t="str">
        <f t="shared" si="2"/>
        <v/>
      </c>
      <c r="C65" s="36"/>
      <c r="D65" s="37"/>
      <c r="E65" s="37"/>
      <c r="F65" s="37"/>
      <c r="G65" s="37"/>
      <c r="H65" s="38"/>
      <c r="I65" s="37"/>
      <c r="J65" s="37"/>
      <c r="K65" s="42" t="b">
        <f t="shared" si="3"/>
        <v>0</v>
      </c>
      <c r="L65" s="37"/>
      <c r="M65" s="1"/>
      <c r="N65" s="1"/>
    </row>
    <row r="66" spans="1:14" x14ac:dyDescent="0.45">
      <c r="A66" s="1"/>
      <c r="B66" s="35" t="str">
        <f t="shared" si="2"/>
        <v/>
      </c>
      <c r="C66" s="36"/>
      <c r="D66" s="37"/>
      <c r="E66" s="37"/>
      <c r="F66" s="37"/>
      <c r="G66" s="37"/>
      <c r="H66" s="38"/>
      <c r="I66" s="37"/>
      <c r="J66" s="37"/>
      <c r="K66" s="40" t="b">
        <f t="shared" si="3"/>
        <v>0</v>
      </c>
      <c r="L66" s="37"/>
      <c r="M66" s="1"/>
      <c r="N66" s="1"/>
    </row>
    <row r="67" spans="1:14" x14ac:dyDescent="0.45">
      <c r="A67" s="1"/>
      <c r="B67" s="41" t="str">
        <f t="shared" si="2"/>
        <v/>
      </c>
      <c r="C67" s="36"/>
      <c r="D67" s="37"/>
      <c r="E67" s="37"/>
      <c r="F67" s="37"/>
      <c r="G67" s="37"/>
      <c r="H67" s="38"/>
      <c r="I67" s="37"/>
      <c r="J67" s="37"/>
      <c r="K67" s="42" t="b">
        <f t="shared" si="3"/>
        <v>0</v>
      </c>
      <c r="L67" s="37"/>
      <c r="M67" s="1"/>
      <c r="N67" s="1"/>
    </row>
    <row r="68" spans="1:14" x14ac:dyDescent="0.45">
      <c r="A68" s="1"/>
      <c r="B68" s="35" t="str">
        <f t="shared" si="2"/>
        <v/>
      </c>
      <c r="C68" s="36"/>
      <c r="D68" s="37"/>
      <c r="E68" s="37"/>
      <c r="F68" s="37"/>
      <c r="G68" s="37"/>
      <c r="H68" s="38"/>
      <c r="I68" s="37"/>
      <c r="J68" s="37"/>
      <c r="K68" s="40" t="b">
        <f t="shared" si="3"/>
        <v>0</v>
      </c>
      <c r="L68" s="37"/>
      <c r="M68" s="1"/>
      <c r="N68" s="1"/>
    </row>
    <row r="69" spans="1:14" x14ac:dyDescent="0.45">
      <c r="A69" s="1"/>
      <c r="B69" s="41" t="str">
        <f t="shared" si="2"/>
        <v/>
      </c>
      <c r="C69" s="36"/>
      <c r="D69" s="37"/>
      <c r="E69" s="37"/>
      <c r="F69" s="37"/>
      <c r="G69" s="37"/>
      <c r="H69" s="38"/>
      <c r="I69" s="37"/>
      <c r="J69" s="37"/>
      <c r="K69" s="42" t="b">
        <f t="shared" si="3"/>
        <v>0</v>
      </c>
      <c r="L69" s="37"/>
      <c r="M69" s="1"/>
      <c r="N69" s="1"/>
    </row>
    <row r="70" spans="1:14" x14ac:dyDescent="0.45">
      <c r="A70" s="1"/>
      <c r="B70" s="35" t="str">
        <f t="shared" si="2"/>
        <v/>
      </c>
      <c r="C70" s="36"/>
      <c r="D70" s="37"/>
      <c r="E70" s="37"/>
      <c r="F70" s="37"/>
      <c r="G70" s="37"/>
      <c r="H70" s="38"/>
      <c r="I70" s="37"/>
      <c r="J70" s="37"/>
      <c r="K70" s="40" t="b">
        <f t="shared" si="3"/>
        <v>0</v>
      </c>
      <c r="L70" s="37"/>
      <c r="M70" s="1"/>
      <c r="N70" s="1"/>
    </row>
    <row r="71" spans="1:14" x14ac:dyDescent="0.45">
      <c r="A71" s="1"/>
      <c r="B71" s="41" t="str">
        <f t="shared" si="2"/>
        <v/>
      </c>
      <c r="C71" s="36"/>
      <c r="D71" s="37"/>
      <c r="E71" s="37"/>
      <c r="F71" s="37"/>
      <c r="G71" s="37"/>
      <c r="H71" s="38"/>
      <c r="I71" s="37"/>
      <c r="J71" s="37"/>
      <c r="K71" s="42" t="b">
        <f t="shared" si="3"/>
        <v>0</v>
      </c>
      <c r="L71" s="37"/>
      <c r="M71" s="1"/>
      <c r="N71" s="1"/>
    </row>
    <row r="72" spans="1:14" x14ac:dyDescent="0.45">
      <c r="A72" s="1"/>
      <c r="B72" s="35" t="str">
        <f t="shared" ref="B72:B103" si="4">IF(C72="","","TX-"&amp;TEXT(YEAR(C72),"0000")&amp;"-"&amp;TEXT(ROW()-7,"0000"))</f>
        <v/>
      </c>
      <c r="C72" s="36"/>
      <c r="D72" s="37"/>
      <c r="E72" s="37"/>
      <c r="F72" s="37"/>
      <c r="G72" s="37"/>
      <c r="H72" s="38"/>
      <c r="I72" s="37"/>
      <c r="J72" s="37"/>
      <c r="K72" s="40" t="b">
        <f t="shared" ref="K72:K103" si="5">IF(J72="Pending",TRUE(),FALSE())</f>
        <v>0</v>
      </c>
      <c r="L72" s="37"/>
      <c r="M72" s="1"/>
      <c r="N72" s="1"/>
    </row>
    <row r="73" spans="1:14" x14ac:dyDescent="0.45">
      <c r="A73" s="1"/>
      <c r="B73" s="41" t="str">
        <f t="shared" si="4"/>
        <v/>
      </c>
      <c r="C73" s="36"/>
      <c r="D73" s="37"/>
      <c r="E73" s="37"/>
      <c r="F73" s="37"/>
      <c r="G73" s="37"/>
      <c r="H73" s="38"/>
      <c r="I73" s="37"/>
      <c r="J73" s="37"/>
      <c r="K73" s="42" t="b">
        <f t="shared" si="5"/>
        <v>0</v>
      </c>
      <c r="L73" s="37"/>
      <c r="M73" s="1"/>
      <c r="N73" s="1"/>
    </row>
    <row r="74" spans="1:14" x14ac:dyDescent="0.45">
      <c r="A74" s="1"/>
      <c r="B74" s="35" t="str">
        <f t="shared" si="4"/>
        <v/>
      </c>
      <c r="C74" s="36"/>
      <c r="D74" s="37"/>
      <c r="E74" s="37"/>
      <c r="F74" s="37"/>
      <c r="G74" s="37"/>
      <c r="H74" s="38"/>
      <c r="I74" s="37"/>
      <c r="J74" s="37"/>
      <c r="K74" s="40" t="b">
        <f t="shared" si="5"/>
        <v>0</v>
      </c>
      <c r="L74" s="37"/>
      <c r="M74" s="1"/>
      <c r="N74" s="1"/>
    </row>
    <row r="75" spans="1:14" x14ac:dyDescent="0.45">
      <c r="A75" s="1"/>
      <c r="B75" s="41" t="str">
        <f t="shared" si="4"/>
        <v/>
      </c>
      <c r="C75" s="36"/>
      <c r="D75" s="37"/>
      <c r="E75" s="37"/>
      <c r="F75" s="37"/>
      <c r="G75" s="37"/>
      <c r="H75" s="38"/>
      <c r="I75" s="37"/>
      <c r="J75" s="37"/>
      <c r="K75" s="42" t="b">
        <f t="shared" si="5"/>
        <v>0</v>
      </c>
      <c r="L75" s="37"/>
      <c r="M75" s="1"/>
      <c r="N75" s="1"/>
    </row>
    <row r="76" spans="1:14" x14ac:dyDescent="0.45">
      <c r="A76" s="1"/>
      <c r="B76" s="35" t="str">
        <f t="shared" si="4"/>
        <v/>
      </c>
      <c r="C76" s="36"/>
      <c r="D76" s="37"/>
      <c r="E76" s="37"/>
      <c r="F76" s="37"/>
      <c r="G76" s="37"/>
      <c r="H76" s="38"/>
      <c r="I76" s="37"/>
      <c r="J76" s="37"/>
      <c r="K76" s="40" t="b">
        <f t="shared" si="5"/>
        <v>0</v>
      </c>
      <c r="L76" s="37"/>
      <c r="M76" s="1"/>
      <c r="N76" s="1"/>
    </row>
    <row r="77" spans="1:14" x14ac:dyDescent="0.45">
      <c r="A77" s="1"/>
      <c r="B77" s="41" t="str">
        <f t="shared" si="4"/>
        <v/>
      </c>
      <c r="C77" s="36"/>
      <c r="D77" s="37"/>
      <c r="E77" s="37"/>
      <c r="F77" s="37"/>
      <c r="G77" s="37"/>
      <c r="H77" s="38"/>
      <c r="I77" s="37"/>
      <c r="J77" s="37"/>
      <c r="K77" s="42" t="b">
        <f t="shared" si="5"/>
        <v>0</v>
      </c>
      <c r="L77" s="37"/>
      <c r="M77" s="1"/>
      <c r="N77" s="1"/>
    </row>
    <row r="78" spans="1:14" x14ac:dyDescent="0.45">
      <c r="A78" s="1"/>
      <c r="B78" s="35" t="str">
        <f t="shared" si="4"/>
        <v/>
      </c>
      <c r="C78" s="36"/>
      <c r="D78" s="37"/>
      <c r="E78" s="37"/>
      <c r="F78" s="37"/>
      <c r="G78" s="37"/>
      <c r="H78" s="38"/>
      <c r="I78" s="37"/>
      <c r="J78" s="37"/>
      <c r="K78" s="40" t="b">
        <f t="shared" si="5"/>
        <v>0</v>
      </c>
      <c r="L78" s="37"/>
      <c r="M78" s="1"/>
      <c r="N78" s="1"/>
    </row>
    <row r="79" spans="1:14" x14ac:dyDescent="0.45">
      <c r="A79" s="1"/>
      <c r="B79" s="41" t="str">
        <f t="shared" si="4"/>
        <v/>
      </c>
      <c r="C79" s="36"/>
      <c r="D79" s="37"/>
      <c r="E79" s="37"/>
      <c r="F79" s="37"/>
      <c r="G79" s="37"/>
      <c r="H79" s="38"/>
      <c r="I79" s="37"/>
      <c r="J79" s="37"/>
      <c r="K79" s="42" t="b">
        <f t="shared" si="5"/>
        <v>0</v>
      </c>
      <c r="L79" s="37"/>
      <c r="M79" s="1"/>
      <c r="N79" s="1"/>
    </row>
    <row r="80" spans="1:14" x14ac:dyDescent="0.45">
      <c r="A80" s="1"/>
      <c r="B80" s="35" t="str">
        <f t="shared" si="4"/>
        <v/>
      </c>
      <c r="C80" s="36"/>
      <c r="D80" s="37"/>
      <c r="E80" s="37"/>
      <c r="F80" s="37"/>
      <c r="G80" s="37"/>
      <c r="H80" s="38"/>
      <c r="I80" s="37"/>
      <c r="J80" s="37"/>
      <c r="K80" s="40" t="b">
        <f t="shared" si="5"/>
        <v>0</v>
      </c>
      <c r="L80" s="37"/>
      <c r="M80" s="1"/>
      <c r="N80" s="1"/>
    </row>
    <row r="81" spans="1:14" x14ac:dyDescent="0.45">
      <c r="A81" s="1"/>
      <c r="B81" s="41" t="str">
        <f t="shared" si="4"/>
        <v/>
      </c>
      <c r="C81" s="36"/>
      <c r="D81" s="37"/>
      <c r="E81" s="37"/>
      <c r="F81" s="37"/>
      <c r="G81" s="37"/>
      <c r="H81" s="38"/>
      <c r="I81" s="37"/>
      <c r="J81" s="37"/>
      <c r="K81" s="42" t="b">
        <f t="shared" si="5"/>
        <v>0</v>
      </c>
      <c r="L81" s="37"/>
      <c r="M81" s="1"/>
      <c r="N81" s="1"/>
    </row>
    <row r="82" spans="1:14" x14ac:dyDescent="0.45">
      <c r="A82" s="1"/>
      <c r="B82" s="35" t="str">
        <f t="shared" si="4"/>
        <v/>
      </c>
      <c r="C82" s="36"/>
      <c r="D82" s="37"/>
      <c r="E82" s="37"/>
      <c r="F82" s="37"/>
      <c r="G82" s="37"/>
      <c r="H82" s="38"/>
      <c r="I82" s="37"/>
      <c r="J82" s="37"/>
      <c r="K82" s="40" t="b">
        <f t="shared" si="5"/>
        <v>0</v>
      </c>
      <c r="L82" s="37"/>
      <c r="M82" s="1"/>
      <c r="N82" s="1"/>
    </row>
    <row r="83" spans="1:14" x14ac:dyDescent="0.45">
      <c r="A83" s="1"/>
      <c r="B83" s="41" t="str">
        <f t="shared" si="4"/>
        <v/>
      </c>
      <c r="C83" s="36"/>
      <c r="D83" s="37"/>
      <c r="E83" s="37"/>
      <c r="F83" s="37"/>
      <c r="G83" s="37"/>
      <c r="H83" s="38"/>
      <c r="I83" s="37"/>
      <c r="J83" s="37"/>
      <c r="K83" s="42" t="b">
        <f t="shared" si="5"/>
        <v>0</v>
      </c>
      <c r="L83" s="37"/>
      <c r="M83" s="1"/>
      <c r="N83" s="1"/>
    </row>
    <row r="84" spans="1:14" x14ac:dyDescent="0.45">
      <c r="A84" s="1"/>
      <c r="B84" s="35" t="str">
        <f t="shared" si="4"/>
        <v/>
      </c>
      <c r="C84" s="36"/>
      <c r="D84" s="37"/>
      <c r="E84" s="37"/>
      <c r="F84" s="37"/>
      <c r="G84" s="37"/>
      <c r="H84" s="38"/>
      <c r="I84" s="37"/>
      <c r="J84" s="37"/>
      <c r="K84" s="40" t="b">
        <f t="shared" si="5"/>
        <v>0</v>
      </c>
      <c r="L84" s="37"/>
      <c r="M84" s="1"/>
      <c r="N84" s="1"/>
    </row>
    <row r="85" spans="1:14" x14ac:dyDescent="0.45">
      <c r="A85" s="1"/>
      <c r="B85" s="41" t="str">
        <f t="shared" si="4"/>
        <v/>
      </c>
      <c r="C85" s="36"/>
      <c r="D85" s="37"/>
      <c r="E85" s="37"/>
      <c r="F85" s="37"/>
      <c r="G85" s="37"/>
      <c r="H85" s="38"/>
      <c r="I85" s="37"/>
      <c r="J85" s="37"/>
      <c r="K85" s="42" t="b">
        <f t="shared" si="5"/>
        <v>0</v>
      </c>
      <c r="L85" s="37"/>
      <c r="M85" s="1"/>
      <c r="N85" s="1"/>
    </row>
    <row r="86" spans="1:14" x14ac:dyDescent="0.45">
      <c r="A86" s="1"/>
      <c r="B86" s="35" t="str">
        <f t="shared" si="4"/>
        <v/>
      </c>
      <c r="C86" s="36"/>
      <c r="D86" s="37"/>
      <c r="E86" s="37"/>
      <c r="F86" s="37"/>
      <c r="G86" s="37"/>
      <c r="H86" s="38"/>
      <c r="I86" s="37"/>
      <c r="J86" s="37"/>
      <c r="K86" s="40" t="b">
        <f t="shared" si="5"/>
        <v>0</v>
      </c>
      <c r="L86" s="37"/>
      <c r="M86" s="1"/>
      <c r="N86" s="1"/>
    </row>
    <row r="87" spans="1:14" x14ac:dyDescent="0.45">
      <c r="A87" s="1"/>
      <c r="B87" s="41" t="str">
        <f t="shared" si="4"/>
        <v/>
      </c>
      <c r="C87" s="36"/>
      <c r="D87" s="37"/>
      <c r="E87" s="37"/>
      <c r="F87" s="37"/>
      <c r="G87" s="37"/>
      <c r="H87" s="38"/>
      <c r="I87" s="37"/>
      <c r="J87" s="37"/>
      <c r="K87" s="42" t="b">
        <f t="shared" si="5"/>
        <v>0</v>
      </c>
      <c r="L87" s="37"/>
      <c r="M87" s="1"/>
      <c r="N87" s="1"/>
    </row>
    <row r="88" spans="1:14" x14ac:dyDescent="0.45">
      <c r="A88" s="1"/>
      <c r="B88" s="35" t="str">
        <f t="shared" si="4"/>
        <v/>
      </c>
      <c r="C88" s="36"/>
      <c r="D88" s="37"/>
      <c r="E88" s="37"/>
      <c r="F88" s="37"/>
      <c r="G88" s="37"/>
      <c r="H88" s="38"/>
      <c r="I88" s="37"/>
      <c r="J88" s="37"/>
      <c r="K88" s="40" t="b">
        <f t="shared" si="5"/>
        <v>0</v>
      </c>
      <c r="L88" s="37"/>
      <c r="M88" s="1"/>
      <c r="N88" s="1"/>
    </row>
    <row r="89" spans="1:14" x14ac:dyDescent="0.45">
      <c r="A89" s="1"/>
      <c r="B89" s="41" t="str">
        <f t="shared" si="4"/>
        <v/>
      </c>
      <c r="C89" s="36"/>
      <c r="D89" s="37"/>
      <c r="E89" s="37"/>
      <c r="F89" s="37"/>
      <c r="G89" s="37"/>
      <c r="H89" s="38"/>
      <c r="I89" s="37"/>
      <c r="J89" s="37"/>
      <c r="K89" s="42" t="b">
        <f t="shared" si="5"/>
        <v>0</v>
      </c>
      <c r="L89" s="37"/>
      <c r="M89" s="1"/>
      <c r="N89" s="1"/>
    </row>
    <row r="90" spans="1:14" x14ac:dyDescent="0.45">
      <c r="A90" s="1"/>
      <c r="B90" s="35" t="str">
        <f t="shared" si="4"/>
        <v/>
      </c>
      <c r="C90" s="36"/>
      <c r="D90" s="37"/>
      <c r="E90" s="37"/>
      <c r="F90" s="37"/>
      <c r="G90" s="37"/>
      <c r="H90" s="38"/>
      <c r="I90" s="37"/>
      <c r="J90" s="37"/>
      <c r="K90" s="40" t="b">
        <f t="shared" si="5"/>
        <v>0</v>
      </c>
      <c r="L90" s="37"/>
      <c r="M90" s="1"/>
      <c r="N90" s="1"/>
    </row>
    <row r="91" spans="1:14" x14ac:dyDescent="0.45">
      <c r="A91" s="1"/>
      <c r="B91" s="41" t="str">
        <f t="shared" si="4"/>
        <v/>
      </c>
      <c r="C91" s="36"/>
      <c r="D91" s="37"/>
      <c r="E91" s="37"/>
      <c r="F91" s="37"/>
      <c r="G91" s="37"/>
      <c r="H91" s="38"/>
      <c r="I91" s="37"/>
      <c r="J91" s="37"/>
      <c r="K91" s="42" t="b">
        <f t="shared" si="5"/>
        <v>0</v>
      </c>
      <c r="L91" s="37"/>
      <c r="M91" s="1"/>
      <c r="N91" s="1"/>
    </row>
    <row r="92" spans="1:14" x14ac:dyDescent="0.45">
      <c r="A92" s="1"/>
      <c r="B92" s="35" t="str">
        <f t="shared" si="4"/>
        <v/>
      </c>
      <c r="C92" s="36"/>
      <c r="D92" s="37"/>
      <c r="E92" s="37"/>
      <c r="F92" s="37"/>
      <c r="G92" s="37"/>
      <c r="H92" s="38"/>
      <c r="I92" s="37"/>
      <c r="J92" s="37"/>
      <c r="K92" s="40" t="b">
        <f t="shared" si="5"/>
        <v>0</v>
      </c>
      <c r="L92" s="37"/>
      <c r="M92" s="1"/>
      <c r="N92" s="1"/>
    </row>
    <row r="93" spans="1:14" x14ac:dyDescent="0.45">
      <c r="A93" s="1"/>
      <c r="B93" s="41" t="str">
        <f t="shared" si="4"/>
        <v/>
      </c>
      <c r="C93" s="36"/>
      <c r="D93" s="37"/>
      <c r="E93" s="37"/>
      <c r="F93" s="37"/>
      <c r="G93" s="37"/>
      <c r="H93" s="38"/>
      <c r="I93" s="37"/>
      <c r="J93" s="37"/>
      <c r="K93" s="42" t="b">
        <f t="shared" si="5"/>
        <v>0</v>
      </c>
      <c r="L93" s="37"/>
      <c r="M93" s="1"/>
      <c r="N93" s="1"/>
    </row>
    <row r="94" spans="1:14" x14ac:dyDescent="0.45">
      <c r="A94" s="1"/>
      <c r="B94" s="35" t="str">
        <f t="shared" si="4"/>
        <v/>
      </c>
      <c r="C94" s="36"/>
      <c r="D94" s="37"/>
      <c r="E94" s="37"/>
      <c r="F94" s="37"/>
      <c r="G94" s="37"/>
      <c r="H94" s="38"/>
      <c r="I94" s="37"/>
      <c r="J94" s="37"/>
      <c r="K94" s="40" t="b">
        <f t="shared" si="5"/>
        <v>0</v>
      </c>
      <c r="L94" s="37"/>
      <c r="M94" s="1"/>
      <c r="N94" s="1"/>
    </row>
    <row r="95" spans="1:14" x14ac:dyDescent="0.45">
      <c r="A95" s="1"/>
      <c r="B95" s="41" t="str">
        <f t="shared" si="4"/>
        <v/>
      </c>
      <c r="C95" s="36"/>
      <c r="D95" s="37"/>
      <c r="E95" s="37"/>
      <c r="F95" s="37"/>
      <c r="G95" s="37"/>
      <c r="H95" s="38"/>
      <c r="I95" s="37"/>
      <c r="J95" s="37"/>
      <c r="K95" s="42" t="b">
        <f t="shared" si="5"/>
        <v>0</v>
      </c>
      <c r="L95" s="37"/>
      <c r="M95" s="1"/>
      <c r="N95" s="1"/>
    </row>
    <row r="96" spans="1:14" x14ac:dyDescent="0.45">
      <c r="A96" s="1"/>
      <c r="B96" s="35" t="str">
        <f t="shared" si="4"/>
        <v/>
      </c>
      <c r="C96" s="36"/>
      <c r="D96" s="37"/>
      <c r="E96" s="37"/>
      <c r="F96" s="37"/>
      <c r="G96" s="37"/>
      <c r="H96" s="38"/>
      <c r="I96" s="37"/>
      <c r="J96" s="37"/>
      <c r="K96" s="40" t="b">
        <f t="shared" si="5"/>
        <v>0</v>
      </c>
      <c r="L96" s="37"/>
      <c r="M96" s="1"/>
      <c r="N96" s="1"/>
    </row>
    <row r="97" spans="1:14" x14ac:dyDescent="0.45">
      <c r="A97" s="1"/>
      <c r="B97" s="41" t="str">
        <f t="shared" si="4"/>
        <v/>
      </c>
      <c r="C97" s="36"/>
      <c r="D97" s="37"/>
      <c r="E97" s="37"/>
      <c r="F97" s="37"/>
      <c r="G97" s="37"/>
      <c r="H97" s="38"/>
      <c r="I97" s="37"/>
      <c r="J97" s="37"/>
      <c r="K97" s="42" t="b">
        <f t="shared" si="5"/>
        <v>0</v>
      </c>
      <c r="L97" s="37"/>
      <c r="M97" s="1"/>
      <c r="N97" s="1"/>
    </row>
    <row r="98" spans="1:14" x14ac:dyDescent="0.45">
      <c r="A98" s="1"/>
      <c r="B98" s="35" t="str">
        <f t="shared" si="4"/>
        <v/>
      </c>
      <c r="C98" s="36"/>
      <c r="D98" s="37"/>
      <c r="E98" s="37"/>
      <c r="F98" s="37"/>
      <c r="G98" s="37"/>
      <c r="H98" s="38"/>
      <c r="I98" s="37"/>
      <c r="J98" s="37"/>
      <c r="K98" s="40" t="b">
        <f t="shared" si="5"/>
        <v>0</v>
      </c>
      <c r="L98" s="37"/>
      <c r="M98" s="1"/>
      <c r="N98" s="1"/>
    </row>
    <row r="99" spans="1:14" x14ac:dyDescent="0.45">
      <c r="A99" s="1"/>
      <c r="B99" s="41" t="str">
        <f t="shared" si="4"/>
        <v/>
      </c>
      <c r="C99" s="36"/>
      <c r="D99" s="37"/>
      <c r="E99" s="37"/>
      <c r="F99" s="37"/>
      <c r="G99" s="37"/>
      <c r="H99" s="38"/>
      <c r="I99" s="37"/>
      <c r="J99" s="37"/>
      <c r="K99" s="42" t="b">
        <f t="shared" si="5"/>
        <v>0</v>
      </c>
      <c r="L99" s="37"/>
      <c r="M99" s="1"/>
      <c r="N99" s="1"/>
    </row>
    <row r="100" spans="1:14" x14ac:dyDescent="0.45">
      <c r="A100" s="1"/>
      <c r="B100" s="35" t="str">
        <f t="shared" si="4"/>
        <v/>
      </c>
      <c r="C100" s="36"/>
      <c r="D100" s="37"/>
      <c r="E100" s="37"/>
      <c r="F100" s="37"/>
      <c r="G100" s="37"/>
      <c r="H100" s="38"/>
      <c r="I100" s="37"/>
      <c r="J100" s="37"/>
      <c r="K100" s="40" t="b">
        <f t="shared" si="5"/>
        <v>0</v>
      </c>
      <c r="L100" s="37"/>
      <c r="M100" s="1"/>
      <c r="N100" s="1"/>
    </row>
    <row r="101" spans="1:14" x14ac:dyDescent="0.45">
      <c r="A101" s="1"/>
      <c r="B101" s="41" t="str">
        <f t="shared" si="4"/>
        <v/>
      </c>
      <c r="C101" s="36"/>
      <c r="D101" s="37"/>
      <c r="E101" s="37"/>
      <c r="F101" s="37"/>
      <c r="G101" s="37"/>
      <c r="H101" s="38"/>
      <c r="I101" s="37"/>
      <c r="J101" s="37"/>
      <c r="K101" s="42" t="b">
        <f t="shared" si="5"/>
        <v>0</v>
      </c>
      <c r="L101" s="37"/>
      <c r="M101" s="1"/>
      <c r="N101" s="1"/>
    </row>
    <row r="102" spans="1:14" x14ac:dyDescent="0.45">
      <c r="A102" s="1"/>
      <c r="B102" s="35" t="str">
        <f t="shared" si="4"/>
        <v/>
      </c>
      <c r="C102" s="36"/>
      <c r="D102" s="37"/>
      <c r="E102" s="37"/>
      <c r="F102" s="37"/>
      <c r="G102" s="37"/>
      <c r="H102" s="38"/>
      <c r="I102" s="37"/>
      <c r="J102" s="37"/>
      <c r="K102" s="40" t="b">
        <f t="shared" si="5"/>
        <v>0</v>
      </c>
      <c r="L102" s="37"/>
      <c r="M102" s="1"/>
      <c r="N102" s="1"/>
    </row>
    <row r="103" spans="1:14" x14ac:dyDescent="0.45">
      <c r="A103" s="1"/>
      <c r="B103" s="41" t="str">
        <f t="shared" si="4"/>
        <v/>
      </c>
      <c r="C103" s="36"/>
      <c r="D103" s="37"/>
      <c r="E103" s="37"/>
      <c r="F103" s="37"/>
      <c r="G103" s="37"/>
      <c r="H103" s="38"/>
      <c r="I103" s="37"/>
      <c r="J103" s="37"/>
      <c r="K103" s="42" t="b">
        <f t="shared" si="5"/>
        <v>0</v>
      </c>
      <c r="L103" s="37"/>
      <c r="M103" s="1"/>
      <c r="N103" s="1"/>
    </row>
    <row r="104" spans="1:14" x14ac:dyDescent="0.45">
      <c r="A104" s="1"/>
      <c r="B104" s="35" t="str">
        <f t="shared" ref="B104:B135" si="6">IF(C104="","","TX-"&amp;TEXT(YEAR(C104),"0000")&amp;"-"&amp;TEXT(ROW()-7,"0000"))</f>
        <v/>
      </c>
      <c r="C104" s="36"/>
      <c r="D104" s="37"/>
      <c r="E104" s="37"/>
      <c r="F104" s="37"/>
      <c r="G104" s="37"/>
      <c r="H104" s="38"/>
      <c r="I104" s="37"/>
      <c r="J104" s="37"/>
      <c r="K104" s="40" t="b">
        <f t="shared" ref="K104:K135" si="7">IF(J104="Pending",TRUE(),FALSE())</f>
        <v>0</v>
      </c>
      <c r="L104" s="37"/>
      <c r="M104" s="1"/>
      <c r="N104" s="1"/>
    </row>
    <row r="105" spans="1:14" x14ac:dyDescent="0.45">
      <c r="A105" s="1"/>
      <c r="B105" s="41" t="str">
        <f t="shared" si="6"/>
        <v/>
      </c>
      <c r="C105" s="36"/>
      <c r="D105" s="37"/>
      <c r="E105" s="37"/>
      <c r="F105" s="37"/>
      <c r="G105" s="37"/>
      <c r="H105" s="38"/>
      <c r="I105" s="37"/>
      <c r="J105" s="37"/>
      <c r="K105" s="42" t="b">
        <f t="shared" si="7"/>
        <v>0</v>
      </c>
      <c r="L105" s="37"/>
      <c r="M105" s="1"/>
      <c r="N105" s="1"/>
    </row>
    <row r="106" spans="1:14" x14ac:dyDescent="0.45">
      <c r="A106" s="1"/>
      <c r="B106" s="35" t="str">
        <f t="shared" si="6"/>
        <v/>
      </c>
      <c r="C106" s="36"/>
      <c r="D106" s="37"/>
      <c r="E106" s="37"/>
      <c r="F106" s="37"/>
      <c r="G106" s="37"/>
      <c r="H106" s="38"/>
      <c r="I106" s="37"/>
      <c r="J106" s="37"/>
      <c r="K106" s="40" t="b">
        <f t="shared" si="7"/>
        <v>0</v>
      </c>
      <c r="L106" s="37"/>
      <c r="M106" s="1"/>
      <c r="N106" s="1"/>
    </row>
    <row r="107" spans="1:14" x14ac:dyDescent="0.45">
      <c r="A107" s="1"/>
      <c r="B107" s="41" t="str">
        <f t="shared" si="6"/>
        <v/>
      </c>
      <c r="C107" s="36"/>
      <c r="D107" s="37"/>
      <c r="E107" s="37"/>
      <c r="F107" s="37"/>
      <c r="G107" s="37"/>
      <c r="H107" s="38"/>
      <c r="I107" s="37"/>
      <c r="J107" s="37"/>
      <c r="K107" s="42" t="b">
        <f t="shared" si="7"/>
        <v>0</v>
      </c>
      <c r="L107" s="37"/>
      <c r="M107" s="1"/>
      <c r="N107" s="1"/>
    </row>
    <row r="108" spans="1:14" ht="13.5" customHeight="1" x14ac:dyDescent="0.45">
      <c r="A108" s="1"/>
      <c r="B108" s="9" t="s">
        <v>93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ErrorMessage="1" errorTitle="Invalid Entry" error="Please select a valid option from the dropdown list." xr:uid="{00000000-0002-0000-0100-000000000000}">
          <x14:formula1>
            <xm:f>Config_Setup!$C$9:$C$11</xm:f>
          </x14:formula1>
          <x14:formula2>
            <xm:f>0</xm:f>
          </x14:formula2>
          <xm:sqref>D8:D507</xm:sqref>
        </x14:dataValidation>
        <x14:dataValidation type="list" allowBlank="1" showErrorMessage="1" errorTitle="Invalid Entry" error="Please select a valid option from the dropdown list." xr:uid="{00000000-0002-0000-0100-000001000000}">
          <x14:formula1>
            <xm:f>Config_Setup!$B$15:$B$16</xm:f>
          </x14:formula1>
          <x14:formula2>
            <xm:f>0</xm:f>
          </x14:formula2>
          <xm:sqref>E8:E507</xm:sqref>
        </x14:dataValidation>
        <x14:dataValidation type="list" allowBlank="1" showErrorMessage="1" errorTitle="Invalid Entry" error="Please select a valid option from the dropdown list." xr:uid="{00000000-0002-0000-0100-000002000000}">
          <x14:formula1>
            <xm:f>Config_Setup!$G$9:$G$15</xm:f>
          </x14:formula1>
          <x14:formula2>
            <xm:f>0</xm:f>
          </x14:formula2>
          <xm:sqref>F8:F507</xm:sqref>
        </x14:dataValidation>
        <x14:dataValidation type="list" allowBlank="1" showErrorMessage="1" errorTitle="Invalid Entry" error="Please select a valid option from the dropdown list." xr:uid="{00000000-0002-0000-0100-000003000000}">
          <x14:formula1>
            <xm:f>Config_Setup!$H$9:$H$28</xm:f>
          </x14:formula1>
          <x14:formula2>
            <xm:f>0</xm:f>
          </x14:formula2>
          <xm:sqref>G8:G507</xm:sqref>
        </x14:dataValidation>
        <x14:dataValidation type="list" allowBlank="1" showErrorMessage="1" errorTitle="Invalid Entry" error="Please select a valid option from the dropdown list." xr:uid="{00000000-0002-0000-0100-000004000000}">
          <x14:formula1>
            <xm:f>Config_Setup!$B$20:$B$21</xm:f>
          </x14:formula1>
          <x14:formula2>
            <xm:f>0</xm:f>
          </x14:formula2>
          <xm:sqref>J8:J507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34E64"/>
  </sheetPr>
  <dimension ref="A1:V30"/>
  <sheetViews>
    <sheetView showGridLines="0" showRowColHeaders="0" zoomScaleNormal="100" workbookViewId="0">
      <selection activeCell="G19" sqref="G19"/>
    </sheetView>
  </sheetViews>
  <sheetFormatPr defaultColWidth="8.6640625" defaultRowHeight="14.25" x14ac:dyDescent="0.45"/>
  <cols>
    <col min="1" max="1" width="3" customWidth="1"/>
    <col min="2" max="3" width="13" customWidth="1"/>
    <col min="4" max="4" width="15" customWidth="1"/>
    <col min="5" max="6" width="18" customWidth="1"/>
    <col min="7" max="8" width="16" customWidth="1"/>
    <col min="9" max="10" width="19" customWidth="1"/>
    <col min="11" max="11" width="16" customWidth="1"/>
    <col min="12" max="12" width="20" customWidth="1"/>
    <col min="13" max="13" width="18" customWidth="1"/>
    <col min="14" max="14" width="17" customWidth="1"/>
    <col min="15" max="15" width="22" customWidth="1"/>
  </cols>
  <sheetData>
    <row r="1" spans="1:22" ht="7.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22" ht="19.5" customHeight="1" x14ac:dyDescent="0.45">
      <c r="A2" s="2"/>
      <c r="B2" s="4" t="s">
        <v>0</v>
      </c>
      <c r="C2" s="2"/>
      <c r="D2" s="2"/>
      <c r="E2" s="2"/>
      <c r="F2" s="4" t="s">
        <v>1</v>
      </c>
      <c r="G2" s="2"/>
      <c r="H2" s="2"/>
      <c r="I2" s="2"/>
      <c r="J2" s="3" t="s">
        <v>2</v>
      </c>
      <c r="K2" s="2"/>
      <c r="L2" s="2"/>
      <c r="M2" s="2"/>
      <c r="N2" s="4" t="s">
        <v>3</v>
      </c>
      <c r="O2" s="2"/>
      <c r="P2" s="2"/>
      <c r="Q2" s="2"/>
      <c r="R2" s="2"/>
      <c r="S2" s="2"/>
      <c r="T2" s="2"/>
      <c r="U2" s="2"/>
      <c r="V2" s="2"/>
    </row>
    <row r="3" spans="1:22" ht="4.5" customHeight="1" x14ac:dyDescent="0.45">
      <c r="A3" s="2"/>
      <c r="B3" s="2"/>
      <c r="C3" s="2"/>
      <c r="D3" s="2"/>
      <c r="E3" s="2"/>
      <c r="F3" s="2"/>
      <c r="G3" s="2"/>
      <c r="H3" s="2"/>
      <c r="I3" s="2"/>
      <c r="J3" s="5"/>
      <c r="K3" s="5"/>
      <c r="L3" s="5"/>
      <c r="M3" s="5"/>
      <c r="N3" s="2"/>
      <c r="O3" s="2"/>
      <c r="P3" s="2"/>
      <c r="Q3" s="2"/>
      <c r="R3" s="2"/>
      <c r="S3" s="2"/>
      <c r="T3" s="2"/>
      <c r="U3" s="2"/>
      <c r="V3" s="2"/>
    </row>
    <row r="4" spans="1:22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22" ht="27.75" customHeight="1" x14ac:dyDescent="0.45">
      <c r="A5" s="1"/>
      <c r="B5" s="34" t="s">
        <v>94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22" ht="12" customHeight="1" x14ac:dyDescent="0.45">
      <c r="A6" s="1"/>
      <c r="B6" s="9" t="s">
        <v>95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spans="1:22" ht="21.75" customHeight="1" x14ac:dyDescent="0.45">
      <c r="A7" s="1"/>
      <c r="B7" s="44" t="s">
        <v>96</v>
      </c>
      <c r="C7" s="44" t="s">
        <v>97</v>
      </c>
      <c r="D7" s="45" t="s">
        <v>98</v>
      </c>
      <c r="E7" s="45" t="s">
        <v>99</v>
      </c>
      <c r="F7" s="45" t="s">
        <v>21</v>
      </c>
      <c r="G7" s="45" t="s">
        <v>100</v>
      </c>
      <c r="H7" s="45" t="s">
        <v>101</v>
      </c>
      <c r="I7" s="45" t="s">
        <v>102</v>
      </c>
      <c r="J7" s="45" t="s">
        <v>103</v>
      </c>
      <c r="K7" s="45" t="s">
        <v>104</v>
      </c>
      <c r="L7" s="45" t="s">
        <v>105</v>
      </c>
      <c r="M7" s="45" t="s">
        <v>106</v>
      </c>
      <c r="N7" s="45" t="s">
        <v>107</v>
      </c>
      <c r="O7" s="45" t="s">
        <v>108</v>
      </c>
      <c r="P7" s="1"/>
    </row>
    <row r="8" spans="1:22" ht="15.75" customHeight="1" x14ac:dyDescent="0.45">
      <c r="A8" s="1"/>
      <c r="B8" s="46">
        <f ca="1">TODAY()-WEEKDAY(TODAY(),2)+1-77</f>
        <v>46132</v>
      </c>
      <c r="C8" s="46">
        <f t="shared" ref="C8:C19" ca="1" si="0">B8+6</f>
        <v>46138</v>
      </c>
      <c r="D8" s="47">
        <f ca="1">SUMIFS(Data_Transactions!$H$8:$H$507,Data_Transactions!$D$8:$D$507,"Business",Data_Transactions!$E$8:$E$507,"Inflow",Data_Transactions!$C$8:$C$507,"&gt;="&amp;B8,Data_Transactions!$C$8:$C$507,"&lt;="&amp;C8)</f>
        <v>0</v>
      </c>
      <c r="E8" s="48">
        <f ca="1">SUMIFS(Data_Transactions!$H$8:$H$507,Data_Transactions!$D$8:$D$507,"Business",Data_Transactions!$E$8:$E$507,"Outflow",Data_Transactions!$F$8:$F$507,"Business Operating Expense",Data_Transactions!$C$8:$C$507,"&gt;="&amp;B8,Data_Transactions!$C$8:$C$507,"&lt;="&amp;C8)</f>
        <v>0</v>
      </c>
      <c r="F8" s="49">
        <f ca="1">SUMIFS(Data_Transactions!$H$8:$H$507,Data_Transactions!$D$8:$D$507,"Business",Data_Transactions!$E$8:$E$507,"Outflow",Data_Transactions!$F$8:$F$507,"Owner's Draw",Data_Transactions!$C$8:$C$507,"&gt;="&amp;B8,Data_Transactions!$C$8:$C$507,"&lt;="&amp;C8)</f>
        <v>0</v>
      </c>
      <c r="G8" s="50">
        <f t="shared" ref="G8:G19" ca="1" si="1">D8-E8-F8</f>
        <v>0</v>
      </c>
      <c r="H8" s="47">
        <f ca="1">SUMIFS(Data_Transactions!$H$8:$H$507,Data_Transactions!$D$8:$D$507,"Personal",Data_Transactions!$E$8:$E$507,"Inflow",Data_Transactions!$C$8:$C$507,"&gt;="&amp;B8,Data_Transactions!$C$8:$C$507,"&lt;="&amp;C8)</f>
        <v>0</v>
      </c>
      <c r="I8" s="48">
        <f ca="1">SUMIFS(Data_Transactions!$H$8:$H$507,Data_Transactions!$D$8:$D$507,"Personal",Data_Transactions!$E$8:$E$507,"Outflow",Data_Transactions!$F$8:$F$507,"Survival Expenses",Data_Transactions!$C$8:$C$507,"&gt;="&amp;B8,Data_Transactions!$C$8:$C$507,"&lt;="&amp;C8)</f>
        <v>0</v>
      </c>
      <c r="J8" s="48">
        <f ca="1">SUMIFS(Data_Transactions!$H$8:$H$507,Data_Transactions!$D$8:$D$507,"Personal",Data_Transactions!$E$8:$E$507,"Outflow",Data_Transactions!$F$8:$F$507,"Discretionary Expenses",Data_Transactions!$C$8:$C$507,"&gt;="&amp;B8,Data_Transactions!$C$8:$C$507,"&lt;="&amp;C8)</f>
        <v>0</v>
      </c>
      <c r="K8" s="50">
        <f t="shared" ref="K8:K19" ca="1" si="2">H8-I8-J8</f>
        <v>0</v>
      </c>
      <c r="L8" s="51">
        <f ca="1">IFERROR(Config_Setup!$C$56,0)+G8</f>
        <v>25000</v>
      </c>
      <c r="M8" s="52">
        <f ca="1">IFERROR(SUMIFS(Data_Transactions!$H$8:$H$507,Data_Transactions!$D$8:$D$507,"Business",Data_Transactions!$E$8:$E$507,"Outflow",Data_Transactions!$C$8:$C$507,"&gt;="&amp;(C8-91),Data_Transactions!$C$8:$C$507,"&lt;="&amp;C8)/3,0)</f>
        <v>0</v>
      </c>
      <c r="N8" s="53">
        <f t="shared" ref="N8:N19" ca="1" si="3">IFERROR(L8/M8,0)</f>
        <v>0</v>
      </c>
      <c r="O8" s="54" t="str">
        <f ca="1">IF(F8=0,"N/A",IF(ABS(F8-(SUMIFS(Data_Transactions!$H$8:$H$507,Data_Transactions!$D$8:$D$507,"Personal",Data_Transactions!$E$8:$E$507,"Inflow",Data_Transactions!$G$8:$G$507,"Active Salary",Data_Transactions!$C$8:$C$507,"&gt;="&amp;(B8-3),Data_Transactions!$C$8:$C$507,"&lt;="&amp;(C8+3))))&gt;0.01,"⚠ MISMATCH","✓ OK"))</f>
        <v>N/A</v>
      </c>
      <c r="P8" s="1"/>
    </row>
    <row r="9" spans="1:22" ht="15.75" customHeight="1" x14ac:dyDescent="0.45">
      <c r="A9" s="1"/>
      <c r="B9" s="55">
        <f ca="1">TODAY()-WEEKDAY(TODAY(),2)+1-70</f>
        <v>46139</v>
      </c>
      <c r="C9" s="55">
        <f t="shared" ca="1" si="0"/>
        <v>46145</v>
      </c>
      <c r="D9" s="56">
        <f ca="1">SUMIFS(Data_Transactions!$H$8:$H$507,Data_Transactions!$D$8:$D$507,"Business",Data_Transactions!$E$8:$E$507,"Inflow",Data_Transactions!$C$8:$C$507,"&gt;="&amp;B9,Data_Transactions!$C$8:$C$507,"&lt;="&amp;C9)</f>
        <v>0</v>
      </c>
      <c r="E9" s="57">
        <f ca="1">SUMIFS(Data_Transactions!$H$8:$H$507,Data_Transactions!$D$8:$D$507,"Business",Data_Transactions!$E$8:$E$507,"Outflow",Data_Transactions!$F$8:$F$507,"Business Operating Expense",Data_Transactions!$C$8:$C$507,"&gt;="&amp;B9,Data_Transactions!$C$8:$C$507,"&lt;="&amp;C9)</f>
        <v>0</v>
      </c>
      <c r="F9" s="58">
        <f ca="1">SUMIFS(Data_Transactions!$H$8:$H$507,Data_Transactions!$D$8:$D$507,"Business",Data_Transactions!$E$8:$E$507,"Outflow",Data_Transactions!$F$8:$F$507,"Owner's Draw",Data_Transactions!$C$8:$C$507,"&gt;="&amp;B9,Data_Transactions!$C$8:$C$507,"&lt;="&amp;C9)</f>
        <v>0</v>
      </c>
      <c r="G9" s="59">
        <f t="shared" ca="1" si="1"/>
        <v>0</v>
      </c>
      <c r="H9" s="56">
        <f ca="1">SUMIFS(Data_Transactions!$H$8:$H$507,Data_Transactions!$D$8:$D$507,"Personal",Data_Transactions!$E$8:$E$507,"Inflow",Data_Transactions!$C$8:$C$507,"&gt;="&amp;B9,Data_Transactions!$C$8:$C$507,"&lt;="&amp;C9)</f>
        <v>0</v>
      </c>
      <c r="I9" s="57">
        <f ca="1">SUMIFS(Data_Transactions!$H$8:$H$507,Data_Transactions!$D$8:$D$507,"Personal",Data_Transactions!$E$8:$E$507,"Outflow",Data_Transactions!$F$8:$F$507,"Survival Expenses",Data_Transactions!$C$8:$C$507,"&gt;="&amp;B9,Data_Transactions!$C$8:$C$507,"&lt;="&amp;C9)</f>
        <v>0</v>
      </c>
      <c r="J9" s="57">
        <f ca="1">SUMIFS(Data_Transactions!$H$8:$H$507,Data_Transactions!$D$8:$D$507,"Personal",Data_Transactions!$E$8:$E$507,"Outflow",Data_Transactions!$F$8:$F$507,"Discretionary Expenses",Data_Transactions!$C$8:$C$507,"&gt;="&amp;B9,Data_Transactions!$C$8:$C$507,"&lt;="&amp;C9)</f>
        <v>0</v>
      </c>
      <c r="K9" s="59">
        <f t="shared" ca="1" si="2"/>
        <v>0</v>
      </c>
      <c r="L9" s="60">
        <f t="shared" ref="L9:L19" ca="1" si="4">L8+G9</f>
        <v>25000</v>
      </c>
      <c r="M9" s="61">
        <f ca="1">IFERROR(SUMIFS(Data_Transactions!$H$8:$H$507,Data_Transactions!$D$8:$D$507,"Business",Data_Transactions!$E$8:$E$507,"Outflow",Data_Transactions!$C$8:$C$507,"&gt;="&amp;(C9-91),Data_Transactions!$C$8:$C$507,"&lt;="&amp;C9)/3,0)</f>
        <v>0</v>
      </c>
      <c r="N9" s="62">
        <f t="shared" ca="1" si="3"/>
        <v>0</v>
      </c>
      <c r="O9" s="63" t="str">
        <f ca="1">IF(F9=0,"N/A",IF(ABS(F9-(SUMIFS(Data_Transactions!$H$8:$H$507,Data_Transactions!$D$8:$D$507,"Personal",Data_Transactions!$E$8:$E$507,"Inflow",Data_Transactions!$G$8:$G$507,"Active Salary",Data_Transactions!$C$8:$C$507,"&gt;="&amp;(B9-3),Data_Transactions!$C$8:$C$507,"&lt;="&amp;(C9+3))))&gt;0.01,"⚠ MISMATCH","✓ OK"))</f>
        <v>N/A</v>
      </c>
      <c r="P9" s="1"/>
    </row>
    <row r="10" spans="1:22" ht="15.75" customHeight="1" x14ac:dyDescent="0.45">
      <c r="A10" s="1"/>
      <c r="B10" s="46">
        <f ca="1">TODAY()-WEEKDAY(TODAY(),2)+1-63</f>
        <v>46146</v>
      </c>
      <c r="C10" s="46">
        <f t="shared" ca="1" si="0"/>
        <v>46152</v>
      </c>
      <c r="D10" s="47">
        <f ca="1">SUMIFS(Data_Transactions!$H$8:$H$507,Data_Transactions!$D$8:$D$507,"Business",Data_Transactions!$E$8:$E$507,"Inflow",Data_Transactions!$C$8:$C$507,"&gt;="&amp;B10,Data_Transactions!$C$8:$C$507,"&lt;="&amp;C10)</f>
        <v>0</v>
      </c>
      <c r="E10" s="48">
        <f ca="1">SUMIFS(Data_Transactions!$H$8:$H$507,Data_Transactions!$D$8:$D$507,"Business",Data_Transactions!$E$8:$E$507,"Outflow",Data_Transactions!$F$8:$F$507,"Business Operating Expense",Data_Transactions!$C$8:$C$507,"&gt;="&amp;B10,Data_Transactions!$C$8:$C$507,"&lt;="&amp;C10)</f>
        <v>0</v>
      </c>
      <c r="F10" s="49">
        <f ca="1">SUMIFS(Data_Transactions!$H$8:$H$507,Data_Transactions!$D$8:$D$507,"Business",Data_Transactions!$E$8:$E$507,"Outflow",Data_Transactions!$F$8:$F$507,"Owner's Draw",Data_Transactions!$C$8:$C$507,"&gt;="&amp;B10,Data_Transactions!$C$8:$C$507,"&lt;="&amp;C10)</f>
        <v>0</v>
      </c>
      <c r="G10" s="50">
        <f t="shared" ca="1" si="1"/>
        <v>0</v>
      </c>
      <c r="H10" s="47">
        <f ca="1">SUMIFS(Data_Transactions!$H$8:$H$507,Data_Transactions!$D$8:$D$507,"Personal",Data_Transactions!$E$8:$E$507,"Inflow",Data_Transactions!$C$8:$C$507,"&gt;="&amp;B10,Data_Transactions!$C$8:$C$507,"&lt;="&amp;C10)</f>
        <v>0</v>
      </c>
      <c r="I10" s="48">
        <f ca="1">SUMIFS(Data_Transactions!$H$8:$H$507,Data_Transactions!$D$8:$D$507,"Personal",Data_Transactions!$E$8:$E$507,"Outflow",Data_Transactions!$F$8:$F$507,"Survival Expenses",Data_Transactions!$C$8:$C$507,"&gt;="&amp;B10,Data_Transactions!$C$8:$C$507,"&lt;="&amp;C10)</f>
        <v>0</v>
      </c>
      <c r="J10" s="48">
        <f ca="1">SUMIFS(Data_Transactions!$H$8:$H$507,Data_Transactions!$D$8:$D$507,"Personal",Data_Transactions!$E$8:$E$507,"Outflow",Data_Transactions!$F$8:$F$507,"Discretionary Expenses",Data_Transactions!$C$8:$C$507,"&gt;="&amp;B10,Data_Transactions!$C$8:$C$507,"&lt;="&amp;C10)</f>
        <v>0</v>
      </c>
      <c r="K10" s="50">
        <f t="shared" ca="1" si="2"/>
        <v>0</v>
      </c>
      <c r="L10" s="51">
        <f t="shared" ca="1" si="4"/>
        <v>25000</v>
      </c>
      <c r="M10" s="52">
        <f ca="1">IFERROR(SUMIFS(Data_Transactions!$H$8:$H$507,Data_Transactions!$D$8:$D$507,"Business",Data_Transactions!$E$8:$E$507,"Outflow",Data_Transactions!$C$8:$C$507,"&gt;="&amp;(C10-91),Data_Transactions!$C$8:$C$507,"&lt;="&amp;C10)/3,0)</f>
        <v>0</v>
      </c>
      <c r="N10" s="53">
        <f t="shared" ca="1" si="3"/>
        <v>0</v>
      </c>
      <c r="O10" s="54" t="str">
        <f ca="1">IF(F10=0,"N/A",IF(ABS(F10-(SUMIFS(Data_Transactions!$H$8:$H$507,Data_Transactions!$D$8:$D$507,"Personal",Data_Transactions!$E$8:$E$507,"Inflow",Data_Transactions!$G$8:$G$507,"Active Salary",Data_Transactions!$C$8:$C$507,"&gt;="&amp;(B10-3),Data_Transactions!$C$8:$C$507,"&lt;="&amp;(C10+3))))&gt;0.01,"⚠ MISMATCH","✓ OK"))</f>
        <v>N/A</v>
      </c>
      <c r="P10" s="1"/>
    </row>
    <row r="11" spans="1:22" ht="15.75" customHeight="1" x14ac:dyDescent="0.45">
      <c r="A11" s="1"/>
      <c r="B11" s="55">
        <f ca="1">TODAY()-WEEKDAY(TODAY(),2)+1-56</f>
        <v>46153</v>
      </c>
      <c r="C11" s="55">
        <f t="shared" ca="1" si="0"/>
        <v>46159</v>
      </c>
      <c r="D11" s="56">
        <f ca="1">SUMIFS(Data_Transactions!$H$8:$H$507,Data_Transactions!$D$8:$D$507,"Business",Data_Transactions!$E$8:$E$507,"Inflow",Data_Transactions!$C$8:$C$507,"&gt;="&amp;B11,Data_Transactions!$C$8:$C$507,"&lt;="&amp;C11)</f>
        <v>0</v>
      </c>
      <c r="E11" s="57">
        <f ca="1">SUMIFS(Data_Transactions!$H$8:$H$507,Data_Transactions!$D$8:$D$507,"Business",Data_Transactions!$E$8:$E$507,"Outflow",Data_Transactions!$F$8:$F$507,"Business Operating Expense",Data_Transactions!$C$8:$C$507,"&gt;="&amp;B11,Data_Transactions!$C$8:$C$507,"&lt;="&amp;C11)</f>
        <v>0</v>
      </c>
      <c r="F11" s="58">
        <f ca="1">SUMIFS(Data_Transactions!$H$8:$H$507,Data_Transactions!$D$8:$D$507,"Business",Data_Transactions!$E$8:$E$507,"Outflow",Data_Transactions!$F$8:$F$507,"Owner's Draw",Data_Transactions!$C$8:$C$507,"&gt;="&amp;B11,Data_Transactions!$C$8:$C$507,"&lt;="&amp;C11)</f>
        <v>0</v>
      </c>
      <c r="G11" s="59">
        <f t="shared" ca="1" si="1"/>
        <v>0</v>
      </c>
      <c r="H11" s="56">
        <f ca="1">SUMIFS(Data_Transactions!$H$8:$H$507,Data_Transactions!$D$8:$D$507,"Personal",Data_Transactions!$E$8:$E$507,"Inflow",Data_Transactions!$C$8:$C$507,"&gt;="&amp;B11,Data_Transactions!$C$8:$C$507,"&lt;="&amp;C11)</f>
        <v>0</v>
      </c>
      <c r="I11" s="57">
        <f ca="1">SUMIFS(Data_Transactions!$H$8:$H$507,Data_Transactions!$D$8:$D$507,"Personal",Data_Transactions!$E$8:$E$507,"Outflow",Data_Transactions!$F$8:$F$507,"Survival Expenses",Data_Transactions!$C$8:$C$507,"&gt;="&amp;B11,Data_Transactions!$C$8:$C$507,"&lt;="&amp;C11)</f>
        <v>0</v>
      </c>
      <c r="J11" s="57">
        <f ca="1">SUMIFS(Data_Transactions!$H$8:$H$507,Data_Transactions!$D$8:$D$507,"Personal",Data_Transactions!$E$8:$E$507,"Outflow",Data_Transactions!$F$8:$F$507,"Discretionary Expenses",Data_Transactions!$C$8:$C$507,"&gt;="&amp;B11,Data_Transactions!$C$8:$C$507,"&lt;="&amp;C11)</f>
        <v>0</v>
      </c>
      <c r="K11" s="59">
        <f t="shared" ca="1" si="2"/>
        <v>0</v>
      </c>
      <c r="L11" s="60">
        <f t="shared" ca="1" si="4"/>
        <v>25000</v>
      </c>
      <c r="M11" s="61">
        <f ca="1">IFERROR(SUMIFS(Data_Transactions!$H$8:$H$507,Data_Transactions!$D$8:$D$507,"Business",Data_Transactions!$E$8:$E$507,"Outflow",Data_Transactions!$C$8:$C$507,"&gt;="&amp;(C11-91),Data_Transactions!$C$8:$C$507,"&lt;="&amp;C11)/3,0)</f>
        <v>0</v>
      </c>
      <c r="N11" s="62">
        <f t="shared" ca="1" si="3"/>
        <v>0</v>
      </c>
      <c r="O11" s="63" t="str">
        <f ca="1">IF(F11=0,"N/A",IF(ABS(F11-(SUMIFS(Data_Transactions!$H$8:$H$507,Data_Transactions!$D$8:$D$507,"Personal",Data_Transactions!$E$8:$E$507,"Inflow",Data_Transactions!$G$8:$G$507,"Active Salary",Data_Transactions!$C$8:$C$507,"&gt;="&amp;(B11-3),Data_Transactions!$C$8:$C$507,"&lt;="&amp;(C11+3))))&gt;0.01,"⚠ MISMATCH","✓ OK"))</f>
        <v>N/A</v>
      </c>
      <c r="P11" s="1"/>
    </row>
    <row r="12" spans="1:22" ht="15.75" customHeight="1" x14ac:dyDescent="0.45">
      <c r="A12" s="1"/>
      <c r="B12" s="46">
        <f ca="1">TODAY()-WEEKDAY(TODAY(),2)+1-49</f>
        <v>46160</v>
      </c>
      <c r="C12" s="46">
        <f t="shared" ca="1" si="0"/>
        <v>46166</v>
      </c>
      <c r="D12" s="47">
        <f ca="1">SUMIFS(Data_Transactions!$H$8:$H$507,Data_Transactions!$D$8:$D$507,"Business",Data_Transactions!$E$8:$E$507,"Inflow",Data_Transactions!$C$8:$C$507,"&gt;="&amp;B12,Data_Transactions!$C$8:$C$507,"&lt;="&amp;C12)</f>
        <v>0</v>
      </c>
      <c r="E12" s="48">
        <f ca="1">SUMIFS(Data_Transactions!$H$8:$H$507,Data_Transactions!$D$8:$D$507,"Business",Data_Transactions!$E$8:$E$507,"Outflow",Data_Transactions!$F$8:$F$507,"Business Operating Expense",Data_Transactions!$C$8:$C$507,"&gt;="&amp;B12,Data_Transactions!$C$8:$C$507,"&lt;="&amp;C12)</f>
        <v>0</v>
      </c>
      <c r="F12" s="49">
        <f ca="1">SUMIFS(Data_Transactions!$H$8:$H$507,Data_Transactions!$D$8:$D$507,"Business",Data_Transactions!$E$8:$E$507,"Outflow",Data_Transactions!$F$8:$F$507,"Owner's Draw",Data_Transactions!$C$8:$C$507,"&gt;="&amp;B12,Data_Transactions!$C$8:$C$507,"&lt;="&amp;C12)</f>
        <v>0</v>
      </c>
      <c r="G12" s="50">
        <f t="shared" ca="1" si="1"/>
        <v>0</v>
      </c>
      <c r="H12" s="47">
        <f ca="1">SUMIFS(Data_Transactions!$H$8:$H$507,Data_Transactions!$D$8:$D$507,"Personal",Data_Transactions!$E$8:$E$507,"Inflow",Data_Transactions!$C$8:$C$507,"&gt;="&amp;B12,Data_Transactions!$C$8:$C$507,"&lt;="&amp;C12)</f>
        <v>0</v>
      </c>
      <c r="I12" s="48">
        <f ca="1">SUMIFS(Data_Transactions!$H$8:$H$507,Data_Transactions!$D$8:$D$507,"Personal",Data_Transactions!$E$8:$E$507,"Outflow",Data_Transactions!$F$8:$F$507,"Survival Expenses",Data_Transactions!$C$8:$C$507,"&gt;="&amp;B12,Data_Transactions!$C$8:$C$507,"&lt;="&amp;C12)</f>
        <v>0</v>
      </c>
      <c r="J12" s="48">
        <f ca="1">SUMIFS(Data_Transactions!$H$8:$H$507,Data_Transactions!$D$8:$D$507,"Personal",Data_Transactions!$E$8:$E$507,"Outflow",Data_Transactions!$F$8:$F$507,"Discretionary Expenses",Data_Transactions!$C$8:$C$507,"&gt;="&amp;B12,Data_Transactions!$C$8:$C$507,"&lt;="&amp;C12)</f>
        <v>0</v>
      </c>
      <c r="K12" s="50">
        <f t="shared" ca="1" si="2"/>
        <v>0</v>
      </c>
      <c r="L12" s="51">
        <f t="shared" ca="1" si="4"/>
        <v>25000</v>
      </c>
      <c r="M12" s="52">
        <f ca="1">IFERROR(SUMIFS(Data_Transactions!$H$8:$H$507,Data_Transactions!$D$8:$D$507,"Business",Data_Transactions!$E$8:$E$507,"Outflow",Data_Transactions!$C$8:$C$507,"&gt;="&amp;(C12-91),Data_Transactions!$C$8:$C$507,"&lt;="&amp;C12)/3,0)</f>
        <v>0</v>
      </c>
      <c r="N12" s="53">
        <f t="shared" ca="1" si="3"/>
        <v>0</v>
      </c>
      <c r="O12" s="54" t="str">
        <f ca="1">IF(F12=0,"N/A",IF(ABS(F12-(SUMIFS(Data_Transactions!$H$8:$H$507,Data_Transactions!$D$8:$D$507,"Personal",Data_Transactions!$E$8:$E$507,"Inflow",Data_Transactions!$G$8:$G$507,"Active Salary",Data_Transactions!$C$8:$C$507,"&gt;="&amp;(B12-3),Data_Transactions!$C$8:$C$507,"&lt;="&amp;(C12+3))))&gt;0.01,"⚠ MISMATCH","✓ OK"))</f>
        <v>N/A</v>
      </c>
      <c r="P12" s="1"/>
    </row>
    <row r="13" spans="1:22" ht="15.75" customHeight="1" x14ac:dyDescent="0.45">
      <c r="A13" s="1"/>
      <c r="B13" s="55">
        <f ca="1">TODAY()-WEEKDAY(TODAY(),2)+1-42</f>
        <v>46167</v>
      </c>
      <c r="C13" s="55">
        <f t="shared" ca="1" si="0"/>
        <v>46173</v>
      </c>
      <c r="D13" s="56">
        <f ca="1">SUMIFS(Data_Transactions!$H$8:$H$507,Data_Transactions!$D$8:$D$507,"Business",Data_Transactions!$E$8:$E$507,"Inflow",Data_Transactions!$C$8:$C$507,"&gt;="&amp;B13,Data_Transactions!$C$8:$C$507,"&lt;="&amp;C13)</f>
        <v>2500</v>
      </c>
      <c r="E13" s="57">
        <f ca="1">SUMIFS(Data_Transactions!$H$8:$H$507,Data_Transactions!$D$8:$D$507,"Business",Data_Transactions!$E$8:$E$507,"Outflow",Data_Transactions!$F$8:$F$507,"Business Operating Expense",Data_Transactions!$C$8:$C$507,"&gt;="&amp;B13,Data_Transactions!$C$8:$C$507,"&lt;="&amp;C13)</f>
        <v>4000</v>
      </c>
      <c r="F13" s="58">
        <f ca="1">SUMIFS(Data_Transactions!$H$8:$H$507,Data_Transactions!$D$8:$D$507,"Business",Data_Transactions!$E$8:$E$507,"Outflow",Data_Transactions!$F$8:$F$507,"Owner's Draw",Data_Transactions!$C$8:$C$507,"&gt;="&amp;B13,Data_Transactions!$C$8:$C$507,"&lt;="&amp;C13)</f>
        <v>0</v>
      </c>
      <c r="G13" s="59">
        <f t="shared" ca="1" si="1"/>
        <v>-1500</v>
      </c>
      <c r="H13" s="56">
        <f ca="1">SUMIFS(Data_Transactions!$H$8:$H$507,Data_Transactions!$D$8:$D$507,"Personal",Data_Transactions!$E$8:$E$507,"Inflow",Data_Transactions!$C$8:$C$507,"&gt;="&amp;B13,Data_Transactions!$C$8:$C$507,"&lt;="&amp;C13)</f>
        <v>0</v>
      </c>
      <c r="I13" s="57">
        <f ca="1">SUMIFS(Data_Transactions!$H$8:$H$507,Data_Transactions!$D$8:$D$507,"Personal",Data_Transactions!$E$8:$E$507,"Outflow",Data_Transactions!$F$8:$F$507,"Survival Expenses",Data_Transactions!$C$8:$C$507,"&gt;="&amp;B13,Data_Transactions!$C$8:$C$507,"&lt;="&amp;C13)</f>
        <v>200</v>
      </c>
      <c r="J13" s="57">
        <f ca="1">SUMIFS(Data_Transactions!$H$8:$H$507,Data_Transactions!$D$8:$D$507,"Personal",Data_Transactions!$E$8:$E$507,"Outflow",Data_Transactions!$F$8:$F$507,"Discretionary Expenses",Data_Transactions!$C$8:$C$507,"&gt;="&amp;B13,Data_Transactions!$C$8:$C$507,"&lt;="&amp;C13)</f>
        <v>150</v>
      </c>
      <c r="K13" s="59">
        <f t="shared" ca="1" si="2"/>
        <v>-350</v>
      </c>
      <c r="L13" s="60">
        <f t="shared" ca="1" si="4"/>
        <v>23500</v>
      </c>
      <c r="M13" s="61">
        <f ca="1">IFERROR(SUMIFS(Data_Transactions!$H$8:$H$507,Data_Transactions!$D$8:$D$507,"Business",Data_Transactions!$E$8:$E$507,"Outflow",Data_Transactions!$C$8:$C$507,"&gt;="&amp;(C13-91),Data_Transactions!$C$8:$C$507,"&lt;="&amp;C13)/3,0)</f>
        <v>1333.3333333333333</v>
      </c>
      <c r="N13" s="62">
        <f t="shared" ca="1" si="3"/>
        <v>17.625</v>
      </c>
      <c r="O13" s="63" t="str">
        <f ca="1">IF(F13=0,"N/A",IF(ABS(F13-(SUMIFS(Data_Transactions!$H$8:$H$507,Data_Transactions!$D$8:$D$507,"Personal",Data_Transactions!$E$8:$E$507,"Inflow",Data_Transactions!$G$8:$G$507,"Active Salary",Data_Transactions!$C$8:$C$507,"&gt;="&amp;(B13-3),Data_Transactions!$C$8:$C$507,"&lt;="&amp;(C13+3))))&gt;0.01,"⚠ MISMATCH","✓ OK"))</f>
        <v>N/A</v>
      </c>
      <c r="P13" s="1"/>
    </row>
    <row r="14" spans="1:22" ht="15.75" customHeight="1" x14ac:dyDescent="0.45">
      <c r="A14" s="1"/>
      <c r="B14" s="46">
        <f ca="1">TODAY()-WEEKDAY(TODAY(),2)+1-35</f>
        <v>46174</v>
      </c>
      <c r="C14" s="46">
        <f t="shared" ca="1" si="0"/>
        <v>46180</v>
      </c>
      <c r="D14" s="47">
        <f ca="1">SUMIFS(Data_Transactions!$H$8:$H$507,Data_Transactions!$D$8:$D$507,"Business",Data_Transactions!$E$8:$E$507,"Inflow",Data_Transactions!$C$8:$C$507,"&gt;="&amp;B14,Data_Transactions!$C$8:$C$507,"&lt;="&amp;C14)</f>
        <v>5000</v>
      </c>
      <c r="E14" s="48">
        <f ca="1">SUMIFS(Data_Transactions!$H$8:$H$507,Data_Transactions!$D$8:$D$507,"Business",Data_Transactions!$E$8:$E$507,"Outflow",Data_Transactions!$F$8:$F$507,"Business Operating Expense",Data_Transactions!$C$8:$C$507,"&gt;="&amp;B14,Data_Transactions!$C$8:$C$507,"&lt;="&amp;C14)</f>
        <v>950</v>
      </c>
      <c r="F14" s="49">
        <f ca="1">SUMIFS(Data_Transactions!$H$8:$H$507,Data_Transactions!$D$8:$D$507,"Business",Data_Transactions!$E$8:$E$507,"Outflow",Data_Transactions!$F$8:$F$507,"Owner's Draw",Data_Transactions!$C$8:$C$507,"&gt;="&amp;B14,Data_Transactions!$C$8:$C$507,"&lt;="&amp;C14)</f>
        <v>3000</v>
      </c>
      <c r="G14" s="50">
        <f t="shared" ca="1" si="1"/>
        <v>1050</v>
      </c>
      <c r="H14" s="47">
        <f ca="1">SUMIFS(Data_Transactions!$H$8:$H$507,Data_Transactions!$D$8:$D$507,"Personal",Data_Transactions!$E$8:$E$507,"Inflow",Data_Transactions!$C$8:$C$507,"&gt;="&amp;B14,Data_Transactions!$C$8:$C$507,"&lt;="&amp;C14)</f>
        <v>3000</v>
      </c>
      <c r="I14" s="48">
        <f ca="1">SUMIFS(Data_Transactions!$H$8:$H$507,Data_Transactions!$D$8:$D$507,"Personal",Data_Transactions!$E$8:$E$507,"Outflow",Data_Transactions!$F$8:$F$507,"Survival Expenses",Data_Transactions!$C$8:$C$507,"&gt;="&amp;B14,Data_Transactions!$C$8:$C$507,"&lt;="&amp;C14)</f>
        <v>1500</v>
      </c>
      <c r="J14" s="48">
        <f ca="1">SUMIFS(Data_Transactions!$H$8:$H$507,Data_Transactions!$D$8:$D$507,"Personal",Data_Transactions!$E$8:$E$507,"Outflow",Data_Transactions!$F$8:$F$507,"Discretionary Expenses",Data_Transactions!$C$8:$C$507,"&gt;="&amp;B14,Data_Transactions!$C$8:$C$507,"&lt;="&amp;C14)</f>
        <v>130</v>
      </c>
      <c r="K14" s="50">
        <f t="shared" ca="1" si="2"/>
        <v>1370</v>
      </c>
      <c r="L14" s="51">
        <f t="shared" ca="1" si="4"/>
        <v>24550</v>
      </c>
      <c r="M14" s="52">
        <f ca="1">IFERROR(SUMIFS(Data_Transactions!$H$8:$H$507,Data_Transactions!$D$8:$D$507,"Business",Data_Transactions!$E$8:$E$507,"Outflow",Data_Transactions!$C$8:$C$507,"&gt;="&amp;(C14-91),Data_Transactions!$C$8:$C$507,"&lt;="&amp;C14)/3,0)</f>
        <v>2650</v>
      </c>
      <c r="N14" s="53">
        <f t="shared" ca="1" si="3"/>
        <v>9.2641509433962259</v>
      </c>
      <c r="O14" s="54" t="str">
        <f ca="1">IF(F14=0,"N/A",IF(ABS(F14-(SUMIFS(Data_Transactions!$H$8:$H$507,Data_Transactions!$D$8:$D$507,"Personal",Data_Transactions!$E$8:$E$507,"Inflow",Data_Transactions!$G$8:$G$507,"Active Salary",Data_Transactions!$C$8:$C$507,"&gt;="&amp;(B14-3),Data_Transactions!$C$8:$C$507,"&lt;="&amp;(C14+3))))&gt;0.01,"⚠ MISMATCH","✓ OK"))</f>
        <v>✓ OK</v>
      </c>
      <c r="P14" s="1"/>
    </row>
    <row r="15" spans="1:22" ht="15.75" customHeight="1" x14ac:dyDescent="0.45">
      <c r="A15" s="1"/>
      <c r="B15" s="55">
        <f ca="1">TODAY()-WEEKDAY(TODAY(),2)+1-28</f>
        <v>46181</v>
      </c>
      <c r="C15" s="55">
        <f t="shared" ca="1" si="0"/>
        <v>46187</v>
      </c>
      <c r="D15" s="56">
        <f ca="1">SUMIFS(Data_Transactions!$H$8:$H$507,Data_Transactions!$D$8:$D$507,"Business",Data_Transactions!$E$8:$E$507,"Inflow",Data_Transactions!$C$8:$C$507,"&gt;="&amp;B15,Data_Transactions!$C$8:$C$507,"&lt;="&amp;C15)</f>
        <v>0</v>
      </c>
      <c r="E15" s="57">
        <f ca="1">SUMIFS(Data_Transactions!$H$8:$H$507,Data_Transactions!$D$8:$D$507,"Business",Data_Transactions!$E$8:$E$507,"Outflow",Data_Transactions!$F$8:$F$507,"Business Operating Expense",Data_Transactions!$C$8:$C$507,"&gt;="&amp;B15,Data_Transactions!$C$8:$C$507,"&lt;="&amp;C15)</f>
        <v>0</v>
      </c>
      <c r="F15" s="58">
        <f ca="1">SUMIFS(Data_Transactions!$H$8:$H$507,Data_Transactions!$D$8:$D$507,"Business",Data_Transactions!$E$8:$E$507,"Outflow",Data_Transactions!$F$8:$F$507,"Owner's Draw",Data_Transactions!$C$8:$C$507,"&gt;="&amp;B15,Data_Transactions!$C$8:$C$507,"&lt;="&amp;C15)</f>
        <v>0</v>
      </c>
      <c r="G15" s="59">
        <f t="shared" ca="1" si="1"/>
        <v>0</v>
      </c>
      <c r="H15" s="56">
        <f ca="1">SUMIFS(Data_Transactions!$H$8:$H$507,Data_Transactions!$D$8:$D$507,"Personal",Data_Transactions!$E$8:$E$507,"Inflow",Data_Transactions!$C$8:$C$507,"&gt;="&amp;B15,Data_Transactions!$C$8:$C$507,"&lt;="&amp;C15)</f>
        <v>0</v>
      </c>
      <c r="I15" s="57">
        <f ca="1">SUMIFS(Data_Transactions!$H$8:$H$507,Data_Transactions!$D$8:$D$507,"Personal",Data_Transactions!$E$8:$E$507,"Outflow",Data_Transactions!$F$8:$F$507,"Survival Expenses",Data_Transactions!$C$8:$C$507,"&gt;="&amp;B15,Data_Transactions!$C$8:$C$507,"&lt;="&amp;C15)</f>
        <v>0</v>
      </c>
      <c r="J15" s="57">
        <f ca="1">SUMIFS(Data_Transactions!$H$8:$H$507,Data_Transactions!$D$8:$D$507,"Personal",Data_Transactions!$E$8:$E$507,"Outflow",Data_Transactions!$F$8:$F$507,"Discretionary Expenses",Data_Transactions!$C$8:$C$507,"&gt;="&amp;B15,Data_Transactions!$C$8:$C$507,"&lt;="&amp;C15)</f>
        <v>0</v>
      </c>
      <c r="K15" s="59">
        <f t="shared" ca="1" si="2"/>
        <v>0</v>
      </c>
      <c r="L15" s="60">
        <f t="shared" ca="1" si="4"/>
        <v>24550</v>
      </c>
      <c r="M15" s="61">
        <f ca="1">IFERROR(SUMIFS(Data_Transactions!$H$8:$H$507,Data_Transactions!$D$8:$D$507,"Business",Data_Transactions!$E$8:$E$507,"Outflow",Data_Transactions!$C$8:$C$507,"&gt;="&amp;(C15-91),Data_Transactions!$C$8:$C$507,"&lt;="&amp;C15)/3,0)</f>
        <v>2650</v>
      </c>
      <c r="N15" s="62">
        <f t="shared" ca="1" si="3"/>
        <v>9.2641509433962259</v>
      </c>
      <c r="O15" s="63" t="str">
        <f ca="1">IF(F15=0,"N/A",IF(ABS(F15-(SUMIFS(Data_Transactions!$H$8:$H$507,Data_Transactions!$D$8:$D$507,"Personal",Data_Transactions!$E$8:$E$507,"Inflow",Data_Transactions!$G$8:$G$507,"Active Salary",Data_Transactions!$C$8:$C$507,"&gt;="&amp;(B15-3),Data_Transactions!$C$8:$C$507,"&lt;="&amp;(C15+3))))&gt;0.01,"⚠ MISMATCH","✓ OK"))</f>
        <v>N/A</v>
      </c>
      <c r="P15" s="1"/>
    </row>
    <row r="16" spans="1:22" ht="15.75" customHeight="1" x14ac:dyDescent="0.45">
      <c r="A16" s="1"/>
      <c r="B16" s="46">
        <f ca="1">TODAY()-WEEKDAY(TODAY(),2)+1-21</f>
        <v>46188</v>
      </c>
      <c r="C16" s="46">
        <f t="shared" ca="1" si="0"/>
        <v>46194</v>
      </c>
      <c r="D16" s="47">
        <f ca="1">SUMIFS(Data_Transactions!$H$8:$H$507,Data_Transactions!$D$8:$D$507,"Business",Data_Transactions!$E$8:$E$507,"Inflow",Data_Transactions!$C$8:$C$507,"&gt;="&amp;B16,Data_Transactions!$C$8:$C$507,"&lt;="&amp;C16)</f>
        <v>0</v>
      </c>
      <c r="E16" s="48">
        <f ca="1">SUMIFS(Data_Transactions!$H$8:$H$507,Data_Transactions!$D$8:$D$507,"Business",Data_Transactions!$E$8:$E$507,"Outflow",Data_Transactions!$F$8:$F$507,"Business Operating Expense",Data_Transactions!$C$8:$C$507,"&gt;="&amp;B16,Data_Transactions!$C$8:$C$507,"&lt;="&amp;C16)</f>
        <v>0</v>
      </c>
      <c r="F16" s="49">
        <f ca="1">SUMIFS(Data_Transactions!$H$8:$H$507,Data_Transactions!$D$8:$D$507,"Business",Data_Transactions!$E$8:$E$507,"Outflow",Data_Transactions!$F$8:$F$507,"Owner's Draw",Data_Transactions!$C$8:$C$507,"&gt;="&amp;B16,Data_Transactions!$C$8:$C$507,"&lt;="&amp;C16)</f>
        <v>0</v>
      </c>
      <c r="G16" s="50">
        <f t="shared" ca="1" si="1"/>
        <v>0</v>
      </c>
      <c r="H16" s="47">
        <f ca="1">SUMIFS(Data_Transactions!$H$8:$H$507,Data_Transactions!$D$8:$D$507,"Personal",Data_Transactions!$E$8:$E$507,"Inflow",Data_Transactions!$C$8:$C$507,"&gt;="&amp;B16,Data_Transactions!$C$8:$C$507,"&lt;="&amp;C16)</f>
        <v>0</v>
      </c>
      <c r="I16" s="48">
        <f ca="1">SUMIFS(Data_Transactions!$H$8:$H$507,Data_Transactions!$D$8:$D$507,"Personal",Data_Transactions!$E$8:$E$507,"Outflow",Data_Transactions!$F$8:$F$507,"Survival Expenses",Data_Transactions!$C$8:$C$507,"&gt;="&amp;B16,Data_Transactions!$C$8:$C$507,"&lt;="&amp;C16)</f>
        <v>0</v>
      </c>
      <c r="J16" s="48">
        <f ca="1">SUMIFS(Data_Transactions!$H$8:$H$507,Data_Transactions!$D$8:$D$507,"Personal",Data_Transactions!$E$8:$E$507,"Outflow",Data_Transactions!$F$8:$F$507,"Discretionary Expenses",Data_Transactions!$C$8:$C$507,"&gt;="&amp;B16,Data_Transactions!$C$8:$C$507,"&lt;="&amp;C16)</f>
        <v>0</v>
      </c>
      <c r="K16" s="50">
        <f t="shared" ca="1" si="2"/>
        <v>0</v>
      </c>
      <c r="L16" s="51">
        <f t="shared" ca="1" si="4"/>
        <v>24550</v>
      </c>
      <c r="M16" s="52">
        <f ca="1">IFERROR(SUMIFS(Data_Transactions!$H$8:$H$507,Data_Transactions!$D$8:$D$507,"Business",Data_Transactions!$E$8:$E$507,"Outflow",Data_Transactions!$C$8:$C$507,"&gt;="&amp;(C16-91),Data_Transactions!$C$8:$C$507,"&lt;="&amp;C16)/3,0)</f>
        <v>2650</v>
      </c>
      <c r="N16" s="53">
        <f t="shared" ca="1" si="3"/>
        <v>9.2641509433962259</v>
      </c>
      <c r="O16" s="54" t="str">
        <f ca="1">IF(F16=0,"N/A",IF(ABS(F16-(SUMIFS(Data_Transactions!$H$8:$H$507,Data_Transactions!$D$8:$D$507,"Personal",Data_Transactions!$E$8:$E$507,"Inflow",Data_Transactions!$G$8:$G$507,"Active Salary",Data_Transactions!$C$8:$C$507,"&gt;="&amp;(B16-3),Data_Transactions!$C$8:$C$507,"&lt;="&amp;(C16+3))))&gt;0.01,"⚠ MISMATCH","✓ OK"))</f>
        <v>N/A</v>
      </c>
      <c r="P16" s="1"/>
    </row>
    <row r="17" spans="1:16" ht="15.75" customHeight="1" x14ac:dyDescent="0.45">
      <c r="A17" s="1"/>
      <c r="B17" s="55">
        <f ca="1">TODAY()-WEEKDAY(TODAY(),2)+1-14</f>
        <v>46195</v>
      </c>
      <c r="C17" s="55">
        <f t="shared" ca="1" si="0"/>
        <v>46201</v>
      </c>
      <c r="D17" s="56">
        <f ca="1">SUMIFS(Data_Transactions!$H$8:$H$507,Data_Transactions!$D$8:$D$507,"Business",Data_Transactions!$E$8:$E$507,"Inflow",Data_Transactions!$C$8:$C$507,"&gt;="&amp;B17,Data_Transactions!$C$8:$C$507,"&lt;="&amp;C17)</f>
        <v>0</v>
      </c>
      <c r="E17" s="57">
        <f ca="1">SUMIFS(Data_Transactions!$H$8:$H$507,Data_Transactions!$D$8:$D$507,"Business",Data_Transactions!$E$8:$E$507,"Outflow",Data_Transactions!$F$8:$F$507,"Business Operating Expense",Data_Transactions!$C$8:$C$507,"&gt;="&amp;B17,Data_Transactions!$C$8:$C$507,"&lt;="&amp;C17)</f>
        <v>0</v>
      </c>
      <c r="F17" s="58">
        <f ca="1">SUMIFS(Data_Transactions!$H$8:$H$507,Data_Transactions!$D$8:$D$507,"Business",Data_Transactions!$E$8:$E$507,"Outflow",Data_Transactions!$F$8:$F$507,"Owner's Draw",Data_Transactions!$C$8:$C$507,"&gt;="&amp;B17,Data_Transactions!$C$8:$C$507,"&lt;="&amp;C17)</f>
        <v>0</v>
      </c>
      <c r="G17" s="59">
        <f t="shared" ca="1" si="1"/>
        <v>0</v>
      </c>
      <c r="H17" s="56">
        <f ca="1">SUMIFS(Data_Transactions!$H$8:$H$507,Data_Transactions!$D$8:$D$507,"Personal",Data_Transactions!$E$8:$E$507,"Inflow",Data_Transactions!$C$8:$C$507,"&gt;="&amp;B17,Data_Transactions!$C$8:$C$507,"&lt;="&amp;C17)</f>
        <v>0</v>
      </c>
      <c r="I17" s="57">
        <f ca="1">SUMIFS(Data_Transactions!$H$8:$H$507,Data_Transactions!$D$8:$D$507,"Personal",Data_Transactions!$E$8:$E$507,"Outflow",Data_Transactions!$F$8:$F$507,"Survival Expenses",Data_Transactions!$C$8:$C$507,"&gt;="&amp;B17,Data_Transactions!$C$8:$C$507,"&lt;="&amp;C17)</f>
        <v>0</v>
      </c>
      <c r="J17" s="57">
        <f ca="1">SUMIFS(Data_Transactions!$H$8:$H$507,Data_Transactions!$D$8:$D$507,"Personal",Data_Transactions!$E$8:$E$507,"Outflow",Data_Transactions!$F$8:$F$507,"Discretionary Expenses",Data_Transactions!$C$8:$C$507,"&gt;="&amp;B17,Data_Transactions!$C$8:$C$507,"&lt;="&amp;C17)</f>
        <v>0</v>
      </c>
      <c r="K17" s="59">
        <f t="shared" ca="1" si="2"/>
        <v>0</v>
      </c>
      <c r="L17" s="60">
        <f t="shared" ca="1" si="4"/>
        <v>24550</v>
      </c>
      <c r="M17" s="61">
        <f ca="1">IFERROR(SUMIFS(Data_Transactions!$H$8:$H$507,Data_Transactions!$D$8:$D$507,"Business",Data_Transactions!$E$8:$E$507,"Outflow",Data_Transactions!$C$8:$C$507,"&gt;="&amp;(C17-91),Data_Transactions!$C$8:$C$507,"&lt;="&amp;C17)/3,0)</f>
        <v>2650</v>
      </c>
      <c r="N17" s="62">
        <f t="shared" ca="1" si="3"/>
        <v>9.2641509433962259</v>
      </c>
      <c r="O17" s="63" t="str">
        <f ca="1">IF(F17=0,"N/A",IF(ABS(F17-(SUMIFS(Data_Transactions!$H$8:$H$507,Data_Transactions!$D$8:$D$507,"Personal",Data_Transactions!$E$8:$E$507,"Inflow",Data_Transactions!$G$8:$G$507,"Active Salary",Data_Transactions!$C$8:$C$507,"&gt;="&amp;(B17-3),Data_Transactions!$C$8:$C$507,"&lt;="&amp;(C17+3))))&gt;0.01,"⚠ MISMATCH","✓ OK"))</f>
        <v>N/A</v>
      </c>
      <c r="P17" s="1"/>
    </row>
    <row r="18" spans="1:16" ht="15.75" customHeight="1" x14ac:dyDescent="0.45">
      <c r="A18" s="1"/>
      <c r="B18" s="46">
        <f ca="1">TODAY()-WEEKDAY(TODAY(),2)+1-7</f>
        <v>46202</v>
      </c>
      <c r="C18" s="46">
        <f t="shared" ca="1" si="0"/>
        <v>46208</v>
      </c>
      <c r="D18" s="47">
        <f ca="1">SUMIFS(Data_Transactions!$H$8:$H$507,Data_Transactions!$D$8:$D$507,"Business",Data_Transactions!$E$8:$E$507,"Inflow",Data_Transactions!$C$8:$C$507,"&gt;="&amp;B18,Data_Transactions!$C$8:$C$507,"&lt;="&amp;C18)</f>
        <v>0</v>
      </c>
      <c r="E18" s="48">
        <f ca="1">SUMIFS(Data_Transactions!$H$8:$H$507,Data_Transactions!$D$8:$D$507,"Business",Data_Transactions!$E$8:$E$507,"Outflow",Data_Transactions!$F$8:$F$507,"Business Operating Expense",Data_Transactions!$C$8:$C$507,"&gt;="&amp;B18,Data_Transactions!$C$8:$C$507,"&lt;="&amp;C18)</f>
        <v>0</v>
      </c>
      <c r="F18" s="49">
        <f ca="1">SUMIFS(Data_Transactions!$H$8:$H$507,Data_Transactions!$D$8:$D$507,"Business",Data_Transactions!$E$8:$E$507,"Outflow",Data_Transactions!$F$8:$F$507,"Owner's Draw",Data_Transactions!$C$8:$C$507,"&gt;="&amp;B18,Data_Transactions!$C$8:$C$507,"&lt;="&amp;C18)</f>
        <v>0</v>
      </c>
      <c r="G18" s="50">
        <f t="shared" ca="1" si="1"/>
        <v>0</v>
      </c>
      <c r="H18" s="47">
        <f ca="1">SUMIFS(Data_Transactions!$H$8:$H$507,Data_Transactions!$D$8:$D$507,"Personal",Data_Transactions!$E$8:$E$507,"Inflow",Data_Transactions!$C$8:$C$507,"&gt;="&amp;B18,Data_Transactions!$C$8:$C$507,"&lt;="&amp;C18)</f>
        <v>0</v>
      </c>
      <c r="I18" s="48">
        <f ca="1">SUMIFS(Data_Transactions!$H$8:$H$507,Data_Transactions!$D$8:$D$507,"Personal",Data_Transactions!$E$8:$E$507,"Outflow",Data_Transactions!$F$8:$F$507,"Survival Expenses",Data_Transactions!$C$8:$C$507,"&gt;="&amp;B18,Data_Transactions!$C$8:$C$507,"&lt;="&amp;C18)</f>
        <v>0</v>
      </c>
      <c r="J18" s="48">
        <f ca="1">SUMIFS(Data_Transactions!$H$8:$H$507,Data_Transactions!$D$8:$D$507,"Personal",Data_Transactions!$E$8:$E$507,"Outflow",Data_Transactions!$F$8:$F$507,"Discretionary Expenses",Data_Transactions!$C$8:$C$507,"&gt;="&amp;B18,Data_Transactions!$C$8:$C$507,"&lt;="&amp;C18)</f>
        <v>0</v>
      </c>
      <c r="K18" s="50">
        <f t="shared" ca="1" si="2"/>
        <v>0</v>
      </c>
      <c r="L18" s="51">
        <f t="shared" ca="1" si="4"/>
        <v>24550</v>
      </c>
      <c r="M18" s="52">
        <f ca="1">IFERROR(SUMIFS(Data_Transactions!$H$8:$H$507,Data_Transactions!$D$8:$D$507,"Business",Data_Transactions!$E$8:$E$507,"Outflow",Data_Transactions!$C$8:$C$507,"&gt;="&amp;(C18-91),Data_Transactions!$C$8:$C$507,"&lt;="&amp;C18)/3,0)</f>
        <v>2650</v>
      </c>
      <c r="N18" s="53">
        <f t="shared" ca="1" si="3"/>
        <v>9.2641509433962259</v>
      </c>
      <c r="O18" s="54" t="str">
        <f ca="1">IF(F18=0,"N/A",IF(ABS(F18-(SUMIFS(Data_Transactions!$H$8:$H$507,Data_Transactions!$D$8:$D$507,"Personal",Data_Transactions!$E$8:$E$507,"Inflow",Data_Transactions!$G$8:$G$507,"Active Salary",Data_Transactions!$C$8:$C$507,"&gt;="&amp;(B18-3),Data_Transactions!$C$8:$C$507,"&lt;="&amp;(C18+3))))&gt;0.01,"⚠ MISMATCH","✓ OK"))</f>
        <v>N/A</v>
      </c>
      <c r="P18" s="1"/>
    </row>
    <row r="19" spans="1:16" ht="15.75" customHeight="1" x14ac:dyDescent="0.45">
      <c r="A19" s="1"/>
      <c r="B19" s="64">
        <f ca="1">TODAY()-WEEKDAY(TODAY(),2)+1</f>
        <v>46209</v>
      </c>
      <c r="C19" s="64">
        <f t="shared" ca="1" si="0"/>
        <v>46215</v>
      </c>
      <c r="D19" s="65">
        <f ca="1">SUMIFS(Data_Transactions!$H$8:$H$507,Data_Transactions!$D$8:$D$507,"Business",Data_Transactions!$E$8:$E$507,"Inflow",Data_Transactions!$C$8:$C$507,"&gt;="&amp;B19,Data_Transactions!$C$8:$C$507,"&lt;="&amp;C19)</f>
        <v>0</v>
      </c>
      <c r="E19" s="66">
        <f ca="1">SUMIFS(Data_Transactions!$H$8:$H$507,Data_Transactions!$D$8:$D$507,"Business",Data_Transactions!$E$8:$E$507,"Outflow",Data_Transactions!$F$8:$F$507,"Business Operating Expense",Data_Transactions!$C$8:$C$507,"&gt;="&amp;B19,Data_Transactions!$C$8:$C$507,"&lt;="&amp;C19)</f>
        <v>0</v>
      </c>
      <c r="F19" s="67">
        <f ca="1">SUMIFS(Data_Transactions!$H$8:$H$507,Data_Transactions!$D$8:$D$507,"Business",Data_Transactions!$E$8:$E$507,"Outflow",Data_Transactions!$F$8:$F$507,"Owner's Draw",Data_Transactions!$C$8:$C$507,"&gt;="&amp;B19,Data_Transactions!$C$8:$C$507,"&lt;="&amp;C19)</f>
        <v>0</v>
      </c>
      <c r="G19" s="68">
        <f t="shared" ca="1" si="1"/>
        <v>0</v>
      </c>
      <c r="H19" s="65">
        <f ca="1">SUMIFS(Data_Transactions!$H$8:$H$507,Data_Transactions!$D$8:$D$507,"Personal",Data_Transactions!$E$8:$E$507,"Inflow",Data_Transactions!$C$8:$C$507,"&gt;="&amp;B19,Data_Transactions!$C$8:$C$507,"&lt;="&amp;C19)</f>
        <v>0</v>
      </c>
      <c r="I19" s="66">
        <f ca="1">SUMIFS(Data_Transactions!$H$8:$H$507,Data_Transactions!$D$8:$D$507,"Personal",Data_Transactions!$E$8:$E$507,"Outflow",Data_Transactions!$F$8:$F$507,"Survival Expenses",Data_Transactions!$C$8:$C$507,"&gt;="&amp;B19,Data_Transactions!$C$8:$C$507,"&lt;="&amp;C19)</f>
        <v>0</v>
      </c>
      <c r="J19" s="66">
        <f ca="1">SUMIFS(Data_Transactions!$H$8:$H$507,Data_Transactions!$D$8:$D$507,"Personal",Data_Transactions!$E$8:$E$507,"Outflow",Data_Transactions!$F$8:$F$507,"Discretionary Expenses",Data_Transactions!$C$8:$C$507,"&gt;="&amp;B19,Data_Transactions!$C$8:$C$507,"&lt;="&amp;C19)</f>
        <v>0</v>
      </c>
      <c r="K19" s="68">
        <f t="shared" ca="1" si="2"/>
        <v>0</v>
      </c>
      <c r="L19" s="69">
        <f t="shared" ca="1" si="4"/>
        <v>24550</v>
      </c>
      <c r="M19" s="70">
        <f ca="1">IFERROR(SUMIFS(Data_Transactions!$H$8:$H$507,Data_Transactions!$D$8:$D$507,"Business",Data_Transactions!$E$8:$E$507,"Outflow",Data_Transactions!$C$8:$C$507,"&gt;="&amp;(C19-91),Data_Transactions!$C$8:$C$507,"&lt;="&amp;C19)/3,0)</f>
        <v>2650</v>
      </c>
      <c r="N19" s="71">
        <f t="shared" ca="1" si="3"/>
        <v>9.2641509433962259</v>
      </c>
      <c r="O19" s="72" t="str">
        <f ca="1">IF(F19=0,"N/A",IF(ABS(F19-(SUMIFS(Data_Transactions!$H$8:$H$507,Data_Transactions!$D$8:$D$507,"Personal",Data_Transactions!$E$8:$E$507,"Inflow",Data_Transactions!$G$8:$G$507,"Active Salary",Data_Transactions!$C$8:$C$507,"&gt;="&amp;(B19-3),Data_Transactions!$C$8:$C$507,"&lt;="&amp;(C19+3))))&gt;0.01,"⚠ MISMATCH","✓ OK"))</f>
        <v>N/A</v>
      </c>
      <c r="P19" s="1"/>
    </row>
    <row r="20" spans="1:16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13.5" customHeight="1" x14ac:dyDescent="0.45">
      <c r="A21" s="1"/>
      <c r="B21" s="73" t="s">
        <v>109</v>
      </c>
      <c r="C21" s="74" t="s">
        <v>110</v>
      </c>
      <c r="D21" s="75" t="s">
        <v>111</v>
      </c>
      <c r="E21" s="76" t="s">
        <v>112</v>
      </c>
      <c r="F21" s="77" t="s">
        <v>113</v>
      </c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1:16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1:16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1:16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1:16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1:16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29" spans="1:16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</row>
    <row r="30" spans="1:16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251FF"/>
  </sheetPr>
  <dimension ref="A1:V65"/>
  <sheetViews>
    <sheetView showGridLines="0" showRowColHeaders="0" tabSelected="1" zoomScale="85" zoomScaleNormal="85" workbookViewId="0">
      <selection activeCell="T16" sqref="T16"/>
    </sheetView>
  </sheetViews>
  <sheetFormatPr defaultColWidth="8.6640625" defaultRowHeight="14.25" x14ac:dyDescent="0.45"/>
  <cols>
    <col min="1" max="1" width="3" customWidth="1"/>
    <col min="2" max="2" width="22" customWidth="1"/>
    <col min="3" max="3" width="16" customWidth="1"/>
    <col min="4" max="4" width="3" customWidth="1"/>
    <col min="5" max="5" width="22" customWidth="1"/>
    <col min="6" max="6" width="16" customWidth="1"/>
    <col min="7" max="8" width="3" customWidth="1"/>
    <col min="9" max="9" width="22" customWidth="1"/>
    <col min="10" max="10" width="16" customWidth="1"/>
    <col min="11" max="11" width="3" customWidth="1"/>
    <col min="12" max="12" width="22" customWidth="1"/>
    <col min="13" max="13" width="16" customWidth="1"/>
    <col min="14" max="14" width="3" customWidth="1"/>
  </cols>
  <sheetData>
    <row r="1" spans="1:22" ht="7.5" customHeight="1" x14ac:dyDescent="0.4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2" ht="19.5" customHeight="1" x14ac:dyDescent="0.45">
      <c r="A2" s="2"/>
      <c r="B2" s="4" t="s">
        <v>0</v>
      </c>
      <c r="C2" s="2"/>
      <c r="D2" s="2"/>
      <c r="E2" s="2"/>
      <c r="F2" s="4" t="s">
        <v>1</v>
      </c>
      <c r="G2" s="2"/>
      <c r="H2" s="2"/>
      <c r="I2" s="2"/>
      <c r="J2" s="4" t="s">
        <v>2</v>
      </c>
      <c r="K2" s="2"/>
      <c r="L2" s="2"/>
      <c r="M2" s="2"/>
      <c r="N2" s="3" t="s">
        <v>3</v>
      </c>
      <c r="O2" s="2"/>
      <c r="P2" s="2"/>
      <c r="Q2" s="2"/>
      <c r="R2" s="2"/>
      <c r="S2" s="2"/>
      <c r="T2" s="2"/>
      <c r="U2" s="2"/>
      <c r="V2" s="2"/>
    </row>
    <row r="3" spans="1:22" ht="4.5" customHeight="1" x14ac:dyDescent="0.4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5"/>
      <c r="P3" s="5"/>
      <c r="Q3" s="5"/>
      <c r="R3" s="2"/>
      <c r="S3" s="2"/>
      <c r="T3" s="2"/>
      <c r="U3" s="2"/>
      <c r="V3" s="2"/>
    </row>
    <row r="4" spans="1:22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22" ht="27.75" customHeight="1" x14ac:dyDescent="0.45">
      <c r="A5" s="1"/>
      <c r="B5" s="34" t="s">
        <v>114</v>
      </c>
      <c r="C5" s="1"/>
      <c r="D5" s="1"/>
      <c r="E5" s="1"/>
      <c r="F5" s="1"/>
      <c r="G5" s="1"/>
      <c r="H5" s="78" t="s">
        <v>115</v>
      </c>
      <c r="I5" s="1"/>
      <c r="J5" s="1"/>
      <c r="K5" s="1"/>
      <c r="L5" s="1"/>
      <c r="M5" s="1"/>
      <c r="N5" s="1"/>
      <c r="O5" s="1"/>
    </row>
    <row r="6" spans="1:22" ht="7.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spans="1:22" ht="21.75" customHeight="1" x14ac:dyDescent="0.45">
      <c r="A7" s="1"/>
      <c r="B7" s="4" t="s">
        <v>116</v>
      </c>
      <c r="C7" s="2"/>
      <c r="D7" s="2"/>
      <c r="E7" s="2"/>
      <c r="F7" s="2"/>
      <c r="G7" s="2"/>
      <c r="H7" s="1"/>
      <c r="I7" s="4" t="s">
        <v>117</v>
      </c>
      <c r="J7" s="2"/>
      <c r="K7" s="2"/>
      <c r="L7" s="2"/>
      <c r="M7" s="2"/>
      <c r="N7" s="2"/>
      <c r="O7" s="1"/>
    </row>
    <row r="8" spans="1:22" ht="7.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9" spans="1:22" ht="13.5" customHeight="1" x14ac:dyDescent="0.45">
      <c r="A9" s="79"/>
      <c r="B9" s="9" t="s">
        <v>118</v>
      </c>
      <c r="C9" s="1"/>
      <c r="D9" s="1"/>
      <c r="E9" s="1"/>
      <c r="F9" s="1"/>
      <c r="G9" s="1"/>
      <c r="H9" s="79"/>
      <c r="I9" s="9" t="s">
        <v>119</v>
      </c>
      <c r="J9" s="1"/>
      <c r="K9" s="1"/>
      <c r="L9" s="1"/>
      <c r="M9" s="1"/>
      <c r="N9" s="1"/>
      <c r="O9" s="1"/>
    </row>
    <row r="10" spans="1:22" ht="30" customHeight="1" x14ac:dyDescent="0.45">
      <c r="A10" s="79"/>
      <c r="B10" s="80" t="str">
        <f ca="1">TEXT(TODAY(),"YYYY-MM-DD")</f>
        <v>2026-07-10</v>
      </c>
      <c r="C10" s="16"/>
      <c r="D10" s="16"/>
      <c r="E10" s="16"/>
      <c r="F10" s="16"/>
      <c r="G10" s="1"/>
      <c r="H10" s="79"/>
      <c r="I10" s="81">
        <f>IFERROR(Config_Setup!$C$49,0)</f>
        <v>300</v>
      </c>
      <c r="J10" s="16"/>
      <c r="K10" s="16"/>
      <c r="L10" s="16"/>
      <c r="M10" s="16"/>
      <c r="N10" s="1"/>
      <c r="O10" s="1"/>
    </row>
    <row r="11" spans="1:22" ht="6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</row>
    <row r="12" spans="1:22" ht="13.5" customHeight="1" x14ac:dyDescent="0.45">
      <c r="A12" s="79"/>
      <c r="B12" s="9" t="s">
        <v>120</v>
      </c>
      <c r="C12" s="1"/>
      <c r="D12" s="1"/>
      <c r="E12" s="1"/>
      <c r="F12" s="1"/>
      <c r="G12" s="1"/>
      <c r="H12" s="79"/>
      <c r="I12" s="9" t="s">
        <v>121</v>
      </c>
      <c r="J12" s="1"/>
      <c r="K12" s="1"/>
      <c r="L12" s="1"/>
      <c r="M12" s="1"/>
      <c r="N12" s="1"/>
      <c r="O12" s="1"/>
    </row>
    <row r="13" spans="1:22" ht="30" customHeight="1" x14ac:dyDescent="0.45">
      <c r="A13" s="79"/>
      <c r="B13" s="82">
        <f ca="1">IFERROR(Calc_Engine!$N$19,0)</f>
        <v>9.2641509433962259</v>
      </c>
      <c r="C13" s="16"/>
      <c r="D13" s="16"/>
      <c r="E13" s="16"/>
      <c r="F13" s="16"/>
      <c r="G13" s="1"/>
      <c r="H13" s="79"/>
      <c r="I13" s="81">
        <f ca="1">IFERROR(SUMIFS(Data_Transactions!$H$8:$H$507,Data_Transactions!$D$8:$D$507,"Personal",Data_Transactions!$E$8:$E$507,"Outflow",Data_Transactions!$F$8:$F$507,"Discretionary Expenses",Data_Transactions!$C$8:$C$507,"&gt;="&amp;Calc_Engine!$B$19,Data_Transactions!$C$8:$C$507,"&lt;="&amp;Calc_Engine!$C$19),0)</f>
        <v>0</v>
      </c>
      <c r="J13" s="16"/>
      <c r="K13" s="16"/>
      <c r="L13" s="16"/>
      <c r="M13" s="16"/>
      <c r="N13" s="1"/>
      <c r="O13" s="1"/>
    </row>
    <row r="14" spans="1:22" ht="6" customHeight="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22" ht="13.5" customHeight="1" x14ac:dyDescent="0.45">
      <c r="A15" s="79"/>
      <c r="B15" s="9" t="s">
        <v>122</v>
      </c>
      <c r="C15" s="1"/>
      <c r="D15" s="1"/>
      <c r="E15" s="1"/>
      <c r="F15" s="1"/>
      <c r="G15" s="1"/>
      <c r="H15" s="79"/>
      <c r="I15" s="9" t="s">
        <v>123</v>
      </c>
      <c r="J15" s="1"/>
      <c r="K15" s="1"/>
      <c r="L15" s="1"/>
      <c r="M15" s="1"/>
      <c r="N15" s="1"/>
      <c r="O15" s="1"/>
    </row>
    <row r="16" spans="1:22" ht="30" customHeight="1" x14ac:dyDescent="0.45">
      <c r="A16" s="79"/>
      <c r="B16" s="83" t="str">
        <f ca="1">IF(IFERROR(Calc_Engine!$N$19,0)&gt;=3,"SAFE",IF(IFERROR(Calc_Engine!$N$19,0)&gt;=1.5,"WARNING","CRITICAL"))</f>
        <v>SAFE</v>
      </c>
      <c r="C16" s="16"/>
      <c r="D16" s="16"/>
      <c r="E16" s="16"/>
      <c r="F16" s="16"/>
      <c r="G16" s="1"/>
      <c r="H16" s="79"/>
      <c r="I16" s="81">
        <f ca="1">I10-I13</f>
        <v>300</v>
      </c>
      <c r="J16" s="16"/>
      <c r="K16" s="16"/>
      <c r="L16" s="16"/>
      <c r="M16" s="16"/>
      <c r="N16" s="1"/>
      <c r="O16" s="1"/>
    </row>
    <row r="17" spans="1:15" ht="6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</row>
    <row r="18" spans="1:15" ht="13.5" customHeight="1" x14ac:dyDescent="0.45">
      <c r="A18" s="79"/>
      <c r="B18" s="9" t="s">
        <v>124</v>
      </c>
      <c r="C18" s="1"/>
      <c r="D18" s="1"/>
      <c r="E18" s="1"/>
      <c r="F18" s="1"/>
      <c r="G18" s="1"/>
      <c r="H18" s="79"/>
      <c r="I18" s="9" t="s">
        <v>125</v>
      </c>
      <c r="J18" s="1"/>
      <c r="K18" s="1"/>
      <c r="L18" s="1"/>
      <c r="M18" s="1"/>
      <c r="N18" s="1"/>
      <c r="O18" s="1"/>
    </row>
    <row r="19" spans="1:15" ht="30" customHeight="1" x14ac:dyDescent="0.45">
      <c r="A19" s="79"/>
      <c r="B19" s="81">
        <f ca="1">IFERROR(Calc_Engine!$G$19,0)</f>
        <v>0</v>
      </c>
      <c r="C19" s="16"/>
      <c r="D19" s="16"/>
      <c r="E19" s="16"/>
      <c r="F19" s="16"/>
      <c r="G19" s="1"/>
      <c r="H19" s="79"/>
      <c r="I19" s="83" t="str">
        <f ca="1">IF(AND(IFERROR(Calc_Engine!$N$19,0)&gt;=3,IFERROR(I13/I10,1)&lt;0.85),"GREEN LIGHT",IF(OR(AND(IFERROR(Calc_Engine!$N$19,0)&gt;=1.5,IFERROR(Calc_Engine!$N$19,0)&lt;3),AND(IFERROR(I13/I10,1)&gt;=0.85,IFERROR(I13/I10,1)&lt;=1)),"YELLOW LIGHT","RED LIGHT"))</f>
        <v>GREEN LIGHT</v>
      </c>
      <c r="J19" s="16"/>
      <c r="K19" s="16"/>
      <c r="L19" s="16"/>
      <c r="M19" s="16"/>
      <c r="N19" s="1"/>
      <c r="O19" s="1"/>
    </row>
    <row r="20" spans="1:15" ht="6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spans="1:15" ht="13.5" customHeight="1" x14ac:dyDescent="0.45">
      <c r="A21" s="79"/>
      <c r="B21" s="9" t="s">
        <v>126</v>
      </c>
      <c r="C21" s="1"/>
      <c r="D21" s="1"/>
      <c r="E21" s="1"/>
      <c r="F21" s="1"/>
      <c r="G21" s="1"/>
      <c r="H21" s="79"/>
      <c r="I21" s="9" t="s">
        <v>127</v>
      </c>
      <c r="J21" s="1"/>
      <c r="K21" s="1"/>
      <c r="L21" s="1"/>
      <c r="M21" s="1"/>
      <c r="N21" s="1"/>
      <c r="O21" s="1"/>
    </row>
    <row r="22" spans="1:15" ht="30" customHeight="1" x14ac:dyDescent="0.45">
      <c r="A22" s="79"/>
      <c r="B22" s="81">
        <f ca="1">IFERROR(Calc_Engine!$L$19,0)</f>
        <v>24550</v>
      </c>
      <c r="C22" s="16"/>
      <c r="D22" s="16"/>
      <c r="E22" s="16"/>
      <c r="F22" s="16"/>
      <c r="G22" s="1"/>
      <c r="H22" s="79"/>
      <c r="I22" s="81">
        <f ca="1">IFERROR(Calc_Engine!$K$19,0)</f>
        <v>0</v>
      </c>
      <c r="J22" s="16"/>
      <c r="K22" s="16"/>
      <c r="L22" s="16"/>
      <c r="M22" s="16"/>
      <c r="N22" s="1"/>
      <c r="O22" s="1"/>
    </row>
    <row r="23" spans="1:15" ht="6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spans="1:15" ht="13.5" customHeight="1" x14ac:dyDescent="0.45">
      <c r="A24" s="79"/>
      <c r="B24" s="9" t="s">
        <v>128</v>
      </c>
      <c r="C24" s="1"/>
      <c r="D24" s="1"/>
      <c r="E24" s="1"/>
      <c r="F24" s="1"/>
      <c r="G24" s="1"/>
      <c r="H24" s="79"/>
      <c r="I24" s="9" t="s">
        <v>129</v>
      </c>
      <c r="J24" s="1"/>
      <c r="K24" s="1"/>
      <c r="L24" s="1"/>
      <c r="M24" s="1"/>
      <c r="N24" s="1"/>
      <c r="O24" s="1"/>
    </row>
    <row r="25" spans="1:15" ht="30" customHeight="1" x14ac:dyDescent="0.45">
      <c r="A25" s="79"/>
      <c r="B25" s="81">
        <f ca="1">IFERROR(Calc_Engine!$M$19,0)</f>
        <v>2650</v>
      </c>
      <c r="C25" s="16"/>
      <c r="D25" s="16"/>
      <c r="E25" s="16"/>
      <c r="F25" s="16"/>
      <c r="G25" s="1"/>
      <c r="H25" s="79"/>
      <c r="I25" s="84">
        <f>COUNTIF(Data_Transactions!$J$8:$J$507,"Pending")</f>
        <v>1</v>
      </c>
      <c r="J25" s="16"/>
      <c r="K25" s="16"/>
      <c r="L25" s="16"/>
      <c r="M25" s="16"/>
      <c r="N25" s="1"/>
      <c r="O25" s="1"/>
    </row>
    <row r="26" spans="1:15" ht="9.7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spans="1:15" ht="21.75" customHeight="1" x14ac:dyDescent="0.45">
      <c r="A27" s="1"/>
      <c r="B27" s="85" t="s">
        <v>130</v>
      </c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1"/>
    </row>
    <row r="28" spans="1:15" ht="13.5" customHeight="1" x14ac:dyDescent="0.45">
      <c r="A28" s="1"/>
      <c r="B28" s="9" t="s">
        <v>131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spans="1:15" ht="21.75" customHeight="1" x14ac:dyDescent="0.45">
      <c r="A29" s="1"/>
      <c r="B29" s="10" t="s">
        <v>71</v>
      </c>
      <c r="C29" s="10" t="s">
        <v>72</v>
      </c>
      <c r="D29" s="10" t="s">
        <v>73</v>
      </c>
      <c r="E29" s="10" t="s">
        <v>74</v>
      </c>
      <c r="F29" s="10" t="s">
        <v>75</v>
      </c>
      <c r="G29" s="10" t="s">
        <v>76</v>
      </c>
      <c r="H29" s="10" t="s">
        <v>77</v>
      </c>
      <c r="I29" s="10" t="s">
        <v>78</v>
      </c>
      <c r="J29" s="10" t="s">
        <v>38</v>
      </c>
      <c r="K29" s="10" t="s">
        <v>132</v>
      </c>
      <c r="L29" s="10" t="s">
        <v>80</v>
      </c>
      <c r="M29" s="1"/>
      <c r="N29" s="1"/>
      <c r="O29" s="1"/>
    </row>
    <row r="30" spans="1:15" ht="12" customHeight="1" x14ac:dyDescent="0.45">
      <c r="A30" s="1"/>
      <c r="B30" s="87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spans="1:15" ht="15.75" customHeight="1" x14ac:dyDescent="0.45">
      <c r="A31" s="1"/>
      <c r="B31" s="17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spans="1:15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spans="1:15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spans="1:15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spans="1:15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spans="1:15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spans="1:15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spans="1:15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spans="1:15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spans="1:15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spans="1:15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spans="1:15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</sheetData>
  <conditionalFormatting sqref="B16:F16">
    <cfRule type="expression" dxfId="8" priority="2">
      <formula>$B$16="SAFE"</formula>
    </cfRule>
    <cfRule type="expression" dxfId="7" priority="3">
      <formula>$B$16="WARNING"</formula>
    </cfRule>
    <cfRule type="expression" dxfId="6" priority="4">
      <formula>$B$16="CRITICAL"</formula>
    </cfRule>
  </conditionalFormatting>
  <conditionalFormatting sqref="B19:F19">
    <cfRule type="expression" dxfId="5" priority="8">
      <formula>$B$19&gt;0</formula>
    </cfRule>
    <cfRule type="expression" dxfId="4" priority="9">
      <formula>$B$19&lt;0</formula>
    </cfRule>
  </conditionalFormatting>
  <conditionalFormatting sqref="I16:M16">
    <cfRule type="expression" dxfId="3" priority="10">
      <formula>$I$16&lt;0</formula>
    </cfRule>
  </conditionalFormatting>
  <conditionalFormatting sqref="I19:M19">
    <cfRule type="expression" dxfId="2" priority="5">
      <formula>$I$19="GREEN LIGHT"</formula>
    </cfRule>
    <cfRule type="expression" dxfId="1" priority="6">
      <formula>$I$19="YELLOW LIGHT"</formula>
    </cfRule>
    <cfRule type="expression" dxfId="0" priority="7">
      <formula>$I$19="RED LIGHT"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Config_Setup</vt:lpstr>
      <vt:lpstr>Data_Transactions</vt:lpstr>
      <vt:lpstr>Calc_Engine</vt:lpstr>
      <vt:lpstr>Dashboard_Pulse</vt:lpstr>
      <vt:lpstr>rng_Categories</vt:lpstr>
      <vt:lpstr>rng_Entities</vt:lpstr>
      <vt:lpstr>rng_Status</vt:lpstr>
      <vt:lpstr>rng_SubCategories</vt:lpstr>
      <vt:lpstr>rng_TxTypes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Hong Alex</cp:lastModifiedBy>
  <cp:revision>0</cp:revision>
  <dcterms:created xsi:type="dcterms:W3CDTF">2026-06-06T14:49:56Z</dcterms:created>
  <dcterms:modified xsi:type="dcterms:W3CDTF">2026-07-10T02:04:15Z</dcterms:modified>
  <dc:language>en-US</dc:language>
</cp:coreProperties>
</file>